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61BD\EXCELCNV\7099c06f-f104-48e3-a887-852e45602193\"/>
    </mc:Choice>
  </mc:AlternateContent>
  <xr:revisionPtr revIDLastSave="0" documentId="8_{775A2257-81D9-43CD-859B-5AAEA304F609}" xr6:coauthVersionLast="47" xr6:coauthVersionMax="47" xr10:uidLastSave="{00000000-0000-0000-0000-000000000000}"/>
  <bookViews>
    <workbookView xWindow="-60" yWindow="-60" windowWidth="15480" windowHeight="11640" firstSheet="2" activeTab="2" xr2:uid="{0A1C88B1-10FD-450D-A2FF-4B753D7AA2FD}"/>
  </bookViews>
  <sheets>
    <sheet name="Base_Original" sheetId="1" r:id="rId1"/>
    <sheet name="Auditoria" sheetId="2" r:id="rId2"/>
    <sheet name="Base_Tratada" sheetId="3" r:id="rId3"/>
  </sheets>
  <definedNames>
    <definedName name="_xlnm._FilterDatabase" localSheetId="0" hidden="1">Base_Original!$A$1:$O$369</definedName>
    <definedName name="_xlnm._FilterDatabase" localSheetId="2" hidden="1">Base_Tratada!$A$1:$A$369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8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3" i="3"/>
  <c r="H94" i="3"/>
  <c r="H95" i="3"/>
  <c r="H96" i="3"/>
  <c r="H97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1" i="3"/>
  <c r="H132" i="3"/>
  <c r="H133" i="3"/>
  <c r="H134" i="3"/>
  <c r="H135" i="3"/>
  <c r="H136" i="3"/>
  <c r="H137" i="3"/>
  <c r="H138" i="3"/>
  <c r="H139" i="3"/>
  <c r="H140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1" i="3"/>
  <c r="H182" i="3"/>
  <c r="H184" i="3"/>
  <c r="H185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I98" i="3" s="1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Y5" i="1"/>
  <c r="B200" i="3"/>
  <c r="S40" i="3"/>
  <c r="S74" i="3"/>
  <c r="S76" i="3"/>
  <c r="S283" i="3"/>
  <c r="B5" i="3"/>
  <c r="B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9" i="3"/>
  <c r="F28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6" i="3"/>
  <c r="F75" i="3"/>
  <c r="F77" i="3"/>
  <c r="F78" i="3"/>
  <c r="F79" i="3"/>
  <c r="F80" i="3"/>
  <c r="F81" i="3"/>
  <c r="F82" i="3"/>
  <c r="F83" i="3"/>
  <c r="F84" i="3"/>
  <c r="F85" i="3"/>
  <c r="F86" i="3"/>
  <c r="F87" i="3"/>
  <c r="F89" i="3"/>
  <c r="F88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9" i="3"/>
  <c r="F138" i="3"/>
  <c r="F140" i="3"/>
  <c r="F141" i="3"/>
  <c r="F143" i="3"/>
  <c r="F142" i="3"/>
  <c r="F144" i="3"/>
  <c r="F145" i="3"/>
  <c r="F146" i="3"/>
  <c r="F147" i="3"/>
  <c r="F148" i="3"/>
  <c r="F149" i="3"/>
  <c r="F150" i="3"/>
  <c r="F151" i="3"/>
  <c r="F152" i="3"/>
  <c r="F154" i="3"/>
  <c r="F153" i="3"/>
  <c r="F155" i="3"/>
  <c r="F157" i="3"/>
  <c r="F156" i="3"/>
  <c r="F158" i="3"/>
  <c r="F160" i="3"/>
  <c r="F159" i="3"/>
  <c r="F161" i="3"/>
  <c r="F162" i="3"/>
  <c r="F163" i="3"/>
  <c r="F164" i="3"/>
  <c r="F165" i="3"/>
  <c r="F166" i="3"/>
  <c r="F168" i="3"/>
  <c r="F167" i="3"/>
  <c r="F169" i="3"/>
  <c r="F170" i="3"/>
  <c r="F171" i="3"/>
  <c r="F172" i="3"/>
  <c r="F173" i="3"/>
  <c r="F174" i="3"/>
  <c r="F175" i="3"/>
  <c r="F176" i="3"/>
  <c r="F177" i="3"/>
  <c r="F179" i="3"/>
  <c r="F178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3" i="3"/>
  <c r="F202" i="3"/>
  <c r="F204" i="3"/>
  <c r="F205" i="3"/>
  <c r="F206" i="3"/>
  <c r="F207" i="3"/>
  <c r="F208" i="3"/>
  <c r="F209" i="3"/>
  <c r="F210" i="3"/>
  <c r="F212" i="3"/>
  <c r="F211" i="3"/>
  <c r="F214" i="3"/>
  <c r="F213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30" i="3"/>
  <c r="F229" i="3"/>
  <c r="F231" i="3"/>
  <c r="F232" i="3"/>
  <c r="F233" i="3"/>
  <c r="F234" i="3"/>
  <c r="F235" i="3"/>
  <c r="F236" i="3"/>
  <c r="F237" i="3"/>
  <c r="F238" i="3"/>
  <c r="F239" i="3"/>
  <c r="F240" i="3"/>
  <c r="F241" i="3"/>
  <c r="F243" i="3"/>
  <c r="F242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3" i="3"/>
  <c r="F264" i="3"/>
  <c r="F262" i="3"/>
  <c r="F265" i="3"/>
  <c r="F266" i="3"/>
  <c r="F267" i="3"/>
  <c r="F268" i="3"/>
  <c r="F269" i="3"/>
  <c r="F270" i="3"/>
  <c r="F271" i="3"/>
  <c r="F272" i="3"/>
  <c r="F273" i="3"/>
  <c r="F275" i="3"/>
  <c r="F274" i="3"/>
  <c r="F276" i="3"/>
  <c r="F278" i="3"/>
  <c r="F277" i="3"/>
  <c r="F279" i="3"/>
  <c r="F280" i="3"/>
  <c r="F281" i="3"/>
  <c r="F282" i="3"/>
  <c r="F283" i="3"/>
  <c r="F284" i="3"/>
  <c r="F285" i="3"/>
  <c r="F287" i="3"/>
  <c r="F286" i="3"/>
  <c r="F288" i="3"/>
  <c r="F289" i="3"/>
  <c r="F290" i="3"/>
  <c r="F291" i="3"/>
  <c r="F292" i="3"/>
  <c r="F293" i="3"/>
  <c r="F295" i="3"/>
  <c r="F294" i="3"/>
  <c r="F296" i="3"/>
  <c r="F297" i="3"/>
  <c r="F298" i="3"/>
  <c r="F299" i="3"/>
  <c r="F301" i="3"/>
  <c r="F300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20" i="3"/>
  <c r="F319" i="3"/>
  <c r="F322" i="3"/>
  <c r="F321" i="3"/>
  <c r="F323" i="3"/>
  <c r="F324" i="3"/>
  <c r="F325" i="3"/>
  <c r="F326" i="3"/>
  <c r="F327" i="3"/>
  <c r="F328" i="3"/>
  <c r="F330" i="3"/>
  <c r="F329" i="3"/>
  <c r="F331" i="3"/>
  <c r="F332" i="3"/>
  <c r="F334" i="3"/>
  <c r="F333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3" i="3"/>
  <c r="F352" i="3"/>
  <c r="F354" i="3"/>
  <c r="F355" i="3"/>
  <c r="F356" i="3"/>
  <c r="F357" i="3"/>
  <c r="F358" i="3"/>
  <c r="F359" i="3"/>
  <c r="F360" i="3"/>
  <c r="F361" i="3"/>
  <c r="F362" i="3"/>
  <c r="F363" i="3"/>
  <c r="F364" i="3"/>
  <c r="F366" i="3"/>
  <c r="F365" i="3"/>
  <c r="F367" i="3"/>
  <c r="F368" i="3"/>
  <c r="F369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9" i="3"/>
  <c r="E28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6" i="3"/>
  <c r="E75" i="3"/>
  <c r="E77" i="3"/>
  <c r="E78" i="3"/>
  <c r="E79" i="3"/>
  <c r="E80" i="3"/>
  <c r="E81" i="3"/>
  <c r="E82" i="3"/>
  <c r="E83" i="3"/>
  <c r="E84" i="3"/>
  <c r="E85" i="3"/>
  <c r="E86" i="3"/>
  <c r="E87" i="3"/>
  <c r="E89" i="3"/>
  <c r="E88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9" i="3"/>
  <c r="E138" i="3"/>
  <c r="E140" i="3"/>
  <c r="E141" i="3"/>
  <c r="E143" i="3"/>
  <c r="E142" i="3"/>
  <c r="E144" i="3"/>
  <c r="E145" i="3"/>
  <c r="E146" i="3"/>
  <c r="E147" i="3"/>
  <c r="E148" i="3"/>
  <c r="E149" i="3"/>
  <c r="E150" i="3"/>
  <c r="E151" i="3"/>
  <c r="E152" i="3"/>
  <c r="E154" i="3"/>
  <c r="E153" i="3"/>
  <c r="E155" i="3"/>
  <c r="E157" i="3"/>
  <c r="E156" i="3"/>
  <c r="E158" i="3"/>
  <c r="E160" i="3"/>
  <c r="E159" i="3"/>
  <c r="E161" i="3"/>
  <c r="E162" i="3"/>
  <c r="E163" i="3"/>
  <c r="E164" i="3"/>
  <c r="E165" i="3"/>
  <c r="E166" i="3"/>
  <c r="E168" i="3"/>
  <c r="E167" i="3"/>
  <c r="E169" i="3"/>
  <c r="E170" i="3"/>
  <c r="E171" i="3"/>
  <c r="E172" i="3"/>
  <c r="E173" i="3"/>
  <c r="E174" i="3"/>
  <c r="E175" i="3"/>
  <c r="E176" i="3"/>
  <c r="E177" i="3"/>
  <c r="E179" i="3"/>
  <c r="E178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3" i="3"/>
  <c r="E202" i="3"/>
  <c r="E204" i="3"/>
  <c r="E205" i="3"/>
  <c r="E206" i="3"/>
  <c r="E207" i="3"/>
  <c r="E208" i="3"/>
  <c r="E209" i="3"/>
  <c r="E210" i="3"/>
  <c r="E212" i="3"/>
  <c r="E211" i="3"/>
  <c r="E214" i="3"/>
  <c r="E213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30" i="3"/>
  <c r="E229" i="3"/>
  <c r="E231" i="3"/>
  <c r="E232" i="3"/>
  <c r="E233" i="3"/>
  <c r="E234" i="3"/>
  <c r="E235" i="3"/>
  <c r="E236" i="3"/>
  <c r="E237" i="3"/>
  <c r="E238" i="3"/>
  <c r="E239" i="3"/>
  <c r="E240" i="3"/>
  <c r="E241" i="3"/>
  <c r="E243" i="3"/>
  <c r="E242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3" i="3"/>
  <c r="E264" i="3"/>
  <c r="E262" i="3"/>
  <c r="E265" i="3"/>
  <c r="E266" i="3"/>
  <c r="E267" i="3"/>
  <c r="E268" i="3"/>
  <c r="E269" i="3"/>
  <c r="E270" i="3"/>
  <c r="E271" i="3"/>
  <c r="E272" i="3"/>
  <c r="E273" i="3"/>
  <c r="E275" i="3"/>
  <c r="E274" i="3"/>
  <c r="E276" i="3"/>
  <c r="E278" i="3"/>
  <c r="E277" i="3"/>
  <c r="E279" i="3"/>
  <c r="E280" i="3"/>
  <c r="E281" i="3"/>
  <c r="E282" i="3"/>
  <c r="E283" i="3"/>
  <c r="E284" i="3"/>
  <c r="E285" i="3"/>
  <c r="E287" i="3"/>
  <c r="E286" i="3"/>
  <c r="E288" i="3"/>
  <c r="E289" i="3"/>
  <c r="E290" i="3"/>
  <c r="E291" i="3"/>
  <c r="E292" i="3"/>
  <c r="E293" i="3"/>
  <c r="E295" i="3"/>
  <c r="E294" i="3"/>
  <c r="E296" i="3"/>
  <c r="E297" i="3"/>
  <c r="E298" i="3"/>
  <c r="E299" i="3"/>
  <c r="E301" i="3"/>
  <c r="E300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20" i="3"/>
  <c r="E319" i="3"/>
  <c r="E322" i="3"/>
  <c r="E321" i="3"/>
  <c r="E323" i="3"/>
  <c r="E324" i="3"/>
  <c r="E325" i="3"/>
  <c r="E326" i="3"/>
  <c r="E327" i="3"/>
  <c r="E328" i="3"/>
  <c r="E330" i="3"/>
  <c r="E329" i="3"/>
  <c r="E331" i="3"/>
  <c r="E332" i="3"/>
  <c r="E334" i="3"/>
  <c r="E333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3" i="3"/>
  <c r="E352" i="3"/>
  <c r="E354" i="3"/>
  <c r="E355" i="3"/>
  <c r="E356" i="3"/>
  <c r="E357" i="3"/>
  <c r="E358" i="3"/>
  <c r="E359" i="3"/>
  <c r="E360" i="3"/>
  <c r="E361" i="3"/>
  <c r="E362" i="3"/>
  <c r="E363" i="3"/>
  <c r="E364" i="3"/>
  <c r="E366" i="3"/>
  <c r="E365" i="3"/>
  <c r="E367" i="3"/>
  <c r="E368" i="3"/>
  <c r="E369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9" i="3"/>
  <c r="L28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6" i="3"/>
  <c r="L75" i="3"/>
  <c r="L77" i="3"/>
  <c r="L78" i="3"/>
  <c r="L79" i="3"/>
  <c r="L80" i="3"/>
  <c r="L81" i="3"/>
  <c r="L82" i="3"/>
  <c r="L83" i="3"/>
  <c r="L84" i="3"/>
  <c r="L85" i="3"/>
  <c r="L86" i="3"/>
  <c r="L87" i="3"/>
  <c r="L89" i="3"/>
  <c r="L88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9" i="3"/>
  <c r="L138" i="3"/>
  <c r="L140" i="3"/>
  <c r="L141" i="3"/>
  <c r="L143" i="3"/>
  <c r="L142" i="3"/>
  <c r="L144" i="3"/>
  <c r="L145" i="3"/>
  <c r="L146" i="3"/>
  <c r="L147" i="3"/>
  <c r="L148" i="3"/>
  <c r="L149" i="3"/>
  <c r="L150" i="3"/>
  <c r="L151" i="3"/>
  <c r="L152" i="3"/>
  <c r="L154" i="3"/>
  <c r="L153" i="3"/>
  <c r="L155" i="3"/>
  <c r="L157" i="3"/>
  <c r="L156" i="3"/>
  <c r="L158" i="3"/>
  <c r="L160" i="3"/>
  <c r="L159" i="3"/>
  <c r="L161" i="3"/>
  <c r="L162" i="3"/>
  <c r="L163" i="3"/>
  <c r="L164" i="3"/>
  <c r="L165" i="3"/>
  <c r="L166" i="3"/>
  <c r="L168" i="3"/>
  <c r="L167" i="3"/>
  <c r="L169" i="3"/>
  <c r="L170" i="3"/>
  <c r="L171" i="3"/>
  <c r="L172" i="3"/>
  <c r="L173" i="3"/>
  <c r="L174" i="3"/>
  <c r="L175" i="3"/>
  <c r="L176" i="3"/>
  <c r="L177" i="3"/>
  <c r="L179" i="3"/>
  <c r="L178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3" i="3"/>
  <c r="L202" i="3"/>
  <c r="L204" i="3"/>
  <c r="L205" i="3"/>
  <c r="L206" i="3"/>
  <c r="L207" i="3"/>
  <c r="L208" i="3"/>
  <c r="L209" i="3"/>
  <c r="L210" i="3"/>
  <c r="L212" i="3"/>
  <c r="L211" i="3"/>
  <c r="L214" i="3"/>
  <c r="L213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30" i="3"/>
  <c r="L229" i="3"/>
  <c r="L231" i="3"/>
  <c r="L232" i="3"/>
  <c r="L233" i="3"/>
  <c r="L234" i="3"/>
  <c r="L235" i="3"/>
  <c r="L236" i="3"/>
  <c r="L237" i="3"/>
  <c r="L238" i="3"/>
  <c r="L239" i="3"/>
  <c r="L240" i="3"/>
  <c r="L241" i="3"/>
  <c r="L243" i="3"/>
  <c r="L242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3" i="3"/>
  <c r="L264" i="3"/>
  <c r="L262" i="3"/>
  <c r="L265" i="3"/>
  <c r="L266" i="3"/>
  <c r="L267" i="3"/>
  <c r="L268" i="3"/>
  <c r="L269" i="3"/>
  <c r="L270" i="3"/>
  <c r="L271" i="3"/>
  <c r="L272" i="3"/>
  <c r="L273" i="3"/>
  <c r="L275" i="3"/>
  <c r="L274" i="3"/>
  <c r="L276" i="3"/>
  <c r="L278" i="3"/>
  <c r="L277" i="3"/>
  <c r="L279" i="3"/>
  <c r="L280" i="3"/>
  <c r="L281" i="3"/>
  <c r="L282" i="3"/>
  <c r="L283" i="3"/>
  <c r="L284" i="3"/>
  <c r="L285" i="3"/>
  <c r="L287" i="3"/>
  <c r="L286" i="3"/>
  <c r="L288" i="3"/>
  <c r="L289" i="3"/>
  <c r="L290" i="3"/>
  <c r="L291" i="3"/>
  <c r="L292" i="3"/>
  <c r="L293" i="3"/>
  <c r="L295" i="3"/>
  <c r="L294" i="3"/>
  <c r="L296" i="3"/>
  <c r="L297" i="3"/>
  <c r="L298" i="3"/>
  <c r="L299" i="3"/>
  <c r="L301" i="3"/>
  <c r="L300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20" i="3"/>
  <c r="L319" i="3"/>
  <c r="L322" i="3"/>
  <c r="L321" i="3"/>
  <c r="L323" i="3"/>
  <c r="L324" i="3"/>
  <c r="L325" i="3"/>
  <c r="L326" i="3"/>
  <c r="L327" i="3"/>
  <c r="L328" i="3"/>
  <c r="L330" i="3"/>
  <c r="L329" i="3"/>
  <c r="L331" i="3"/>
  <c r="L332" i="3"/>
  <c r="L334" i="3"/>
  <c r="L333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3" i="3"/>
  <c r="L352" i="3"/>
  <c r="L354" i="3"/>
  <c r="L355" i="3"/>
  <c r="L356" i="3"/>
  <c r="L357" i="3"/>
  <c r="L358" i="3"/>
  <c r="L359" i="3"/>
  <c r="L360" i="3"/>
  <c r="L361" i="3"/>
  <c r="L362" i="3"/>
  <c r="L363" i="3"/>
  <c r="L364" i="3"/>
  <c r="L366" i="3"/>
  <c r="L365" i="3"/>
  <c r="L367" i="3"/>
  <c r="L368" i="3"/>
  <c r="L369" i="3"/>
  <c r="L2" i="3"/>
  <c r="C5" i="3"/>
  <c r="R3" i="3"/>
  <c r="S3" i="3" s="1"/>
  <c r="R4" i="3"/>
  <c r="S4" i="3" s="1"/>
  <c r="R5" i="3"/>
  <c r="S5" i="3" s="1"/>
  <c r="R6" i="3"/>
  <c r="S6" i="3" s="1"/>
  <c r="R7" i="3"/>
  <c r="S7" i="3" s="1"/>
  <c r="R8" i="3"/>
  <c r="S8" i="3" s="1"/>
  <c r="R9" i="3"/>
  <c r="S9" i="3" s="1"/>
  <c r="R10" i="3"/>
  <c r="S10" i="3" s="1"/>
  <c r="R11" i="3"/>
  <c r="S11" i="3" s="1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1" i="3"/>
  <c r="S21" i="3" s="1"/>
  <c r="R20" i="3"/>
  <c r="S20" i="3" s="1"/>
  <c r="R22" i="3"/>
  <c r="S22" i="3" s="1"/>
  <c r="R23" i="3"/>
  <c r="S23" i="3" s="1"/>
  <c r="R24" i="3"/>
  <c r="S24" i="3" s="1"/>
  <c r="R25" i="3"/>
  <c r="S25" i="3" s="1"/>
  <c r="R26" i="3"/>
  <c r="S26" i="3" s="1"/>
  <c r="R27" i="3"/>
  <c r="S27" i="3" s="1"/>
  <c r="R28" i="3"/>
  <c r="S28" i="3" s="1"/>
  <c r="R29" i="3"/>
  <c r="S29" i="3" s="1"/>
  <c r="R30" i="3"/>
  <c r="S30" i="3" s="1"/>
  <c r="R31" i="3"/>
  <c r="S31" i="3" s="1"/>
  <c r="R32" i="3"/>
  <c r="S32" i="3" s="1"/>
  <c r="R33" i="3"/>
  <c r="S33" i="3" s="1"/>
  <c r="R34" i="3"/>
  <c r="S34" i="3" s="1"/>
  <c r="R35" i="3"/>
  <c r="S35" i="3" s="1"/>
  <c r="R36" i="3"/>
  <c r="S36" i="3" s="1"/>
  <c r="R37" i="3"/>
  <c r="S37" i="3" s="1"/>
  <c r="R38" i="3"/>
  <c r="S38" i="3" s="1"/>
  <c r="R39" i="3"/>
  <c r="S39" i="3" s="1"/>
  <c r="R41" i="3"/>
  <c r="S41" i="3" s="1"/>
  <c r="R42" i="3"/>
  <c r="S42" i="3" s="1"/>
  <c r="R43" i="3"/>
  <c r="S43" i="3" s="1"/>
  <c r="R44" i="3"/>
  <c r="S44" i="3" s="1"/>
  <c r="R45" i="3"/>
  <c r="S45" i="3" s="1"/>
  <c r="R46" i="3"/>
  <c r="S46" i="3" s="1"/>
  <c r="R47" i="3"/>
  <c r="S47" i="3" s="1"/>
  <c r="R48" i="3"/>
  <c r="S48" i="3" s="1"/>
  <c r="R49" i="3"/>
  <c r="S49" i="3" s="1"/>
  <c r="R50" i="3"/>
  <c r="S50" i="3" s="1"/>
  <c r="R51" i="3"/>
  <c r="S51" i="3" s="1"/>
  <c r="R52" i="3"/>
  <c r="S52" i="3" s="1"/>
  <c r="R53" i="3"/>
  <c r="S53" i="3" s="1"/>
  <c r="R54" i="3"/>
  <c r="S54" i="3" s="1"/>
  <c r="R55" i="3"/>
  <c r="S55" i="3" s="1"/>
  <c r="R56" i="3"/>
  <c r="S56" i="3" s="1"/>
  <c r="R57" i="3"/>
  <c r="S57" i="3" s="1"/>
  <c r="R58" i="3"/>
  <c r="S58" i="3" s="1"/>
  <c r="R59" i="3"/>
  <c r="S59" i="3" s="1"/>
  <c r="R60" i="3"/>
  <c r="S60" i="3" s="1"/>
  <c r="R61" i="3"/>
  <c r="S61" i="3" s="1"/>
  <c r="R62" i="3"/>
  <c r="S62" i="3" s="1"/>
  <c r="R63" i="3"/>
  <c r="S63" i="3" s="1"/>
  <c r="R64" i="3"/>
  <c r="S64" i="3" s="1"/>
  <c r="R65" i="3"/>
  <c r="S65" i="3" s="1"/>
  <c r="R66" i="3"/>
  <c r="S66" i="3" s="1"/>
  <c r="R67" i="3"/>
  <c r="S67" i="3" s="1"/>
  <c r="R68" i="3"/>
  <c r="S68" i="3" s="1"/>
  <c r="R69" i="3"/>
  <c r="S69" i="3" s="1"/>
  <c r="R70" i="3"/>
  <c r="S70" i="3" s="1"/>
  <c r="R71" i="3"/>
  <c r="S71" i="3" s="1"/>
  <c r="R72" i="3"/>
  <c r="S72" i="3" s="1"/>
  <c r="R73" i="3"/>
  <c r="S73" i="3" s="1"/>
  <c r="R75" i="3"/>
  <c r="S75" i="3" s="1"/>
  <c r="R77" i="3"/>
  <c r="S77" i="3" s="1"/>
  <c r="R78" i="3"/>
  <c r="S78" i="3" s="1"/>
  <c r="R79" i="3"/>
  <c r="S79" i="3" s="1"/>
  <c r="R80" i="3"/>
  <c r="S80" i="3" s="1"/>
  <c r="R81" i="3"/>
  <c r="S81" i="3" s="1"/>
  <c r="R82" i="3"/>
  <c r="S82" i="3" s="1"/>
  <c r="R83" i="3"/>
  <c r="S83" i="3" s="1"/>
  <c r="R84" i="3"/>
  <c r="S84" i="3" s="1"/>
  <c r="R85" i="3"/>
  <c r="S85" i="3" s="1"/>
  <c r="R86" i="3"/>
  <c r="S86" i="3" s="1"/>
  <c r="R87" i="3"/>
  <c r="S87" i="3" s="1"/>
  <c r="R89" i="3"/>
  <c r="S89" i="3" s="1"/>
  <c r="R88" i="3"/>
  <c r="S88" i="3" s="1"/>
  <c r="R90" i="3"/>
  <c r="S90" i="3" s="1"/>
  <c r="R91" i="3"/>
  <c r="S91" i="3" s="1"/>
  <c r="R92" i="3"/>
  <c r="S92" i="3" s="1"/>
  <c r="R93" i="3"/>
  <c r="S93" i="3" s="1"/>
  <c r="R94" i="3"/>
  <c r="S94" i="3" s="1"/>
  <c r="R95" i="3"/>
  <c r="S95" i="3" s="1"/>
  <c r="R96" i="3"/>
  <c r="S96" i="3" s="1"/>
  <c r="R97" i="3"/>
  <c r="S97" i="3" s="1"/>
  <c r="R98" i="3"/>
  <c r="S98" i="3" s="1"/>
  <c r="R99" i="3"/>
  <c r="S99" i="3" s="1"/>
  <c r="R100" i="3"/>
  <c r="S100" i="3" s="1"/>
  <c r="R101" i="3"/>
  <c r="S101" i="3" s="1"/>
  <c r="R102" i="3"/>
  <c r="S102" i="3" s="1"/>
  <c r="R103" i="3"/>
  <c r="S103" i="3" s="1"/>
  <c r="R104" i="3"/>
  <c r="S104" i="3" s="1"/>
  <c r="R105" i="3"/>
  <c r="S105" i="3" s="1"/>
  <c r="R106" i="3"/>
  <c r="S106" i="3" s="1"/>
  <c r="R107" i="3"/>
  <c r="S107" i="3" s="1"/>
  <c r="R108" i="3"/>
  <c r="S108" i="3" s="1"/>
  <c r="R109" i="3"/>
  <c r="S109" i="3" s="1"/>
  <c r="R110" i="3"/>
  <c r="S110" i="3" s="1"/>
  <c r="R111" i="3"/>
  <c r="S111" i="3" s="1"/>
  <c r="R112" i="3"/>
  <c r="S112" i="3" s="1"/>
  <c r="R113" i="3"/>
  <c r="S113" i="3" s="1"/>
  <c r="R114" i="3"/>
  <c r="S114" i="3" s="1"/>
  <c r="R115" i="3"/>
  <c r="S115" i="3" s="1"/>
  <c r="R116" i="3"/>
  <c r="S116" i="3" s="1"/>
  <c r="R117" i="3"/>
  <c r="S117" i="3" s="1"/>
  <c r="R118" i="3"/>
  <c r="S118" i="3" s="1"/>
  <c r="R119" i="3"/>
  <c r="S119" i="3" s="1"/>
  <c r="R120" i="3"/>
  <c r="S120" i="3" s="1"/>
  <c r="R121" i="3"/>
  <c r="S121" i="3" s="1"/>
  <c r="R122" i="3"/>
  <c r="S122" i="3" s="1"/>
  <c r="R123" i="3"/>
  <c r="S123" i="3" s="1"/>
  <c r="R124" i="3"/>
  <c r="S124" i="3" s="1"/>
  <c r="R125" i="3"/>
  <c r="S125" i="3" s="1"/>
  <c r="R126" i="3"/>
  <c r="S126" i="3" s="1"/>
  <c r="R127" i="3"/>
  <c r="S127" i="3" s="1"/>
  <c r="R128" i="3"/>
  <c r="S128" i="3" s="1"/>
  <c r="R129" i="3"/>
  <c r="S129" i="3" s="1"/>
  <c r="R130" i="3"/>
  <c r="S130" i="3" s="1"/>
  <c r="R131" i="3"/>
  <c r="S131" i="3" s="1"/>
  <c r="R132" i="3"/>
  <c r="S132" i="3" s="1"/>
  <c r="R133" i="3"/>
  <c r="S133" i="3" s="1"/>
  <c r="R134" i="3"/>
  <c r="S134" i="3" s="1"/>
  <c r="R135" i="3"/>
  <c r="S135" i="3" s="1"/>
  <c r="R136" i="3"/>
  <c r="S136" i="3" s="1"/>
  <c r="R137" i="3"/>
  <c r="S137" i="3" s="1"/>
  <c r="R139" i="3"/>
  <c r="S139" i="3" s="1"/>
  <c r="R138" i="3"/>
  <c r="S138" i="3" s="1"/>
  <c r="R140" i="3"/>
  <c r="S140" i="3" s="1"/>
  <c r="R141" i="3"/>
  <c r="S141" i="3" s="1"/>
  <c r="R142" i="3"/>
  <c r="S142" i="3" s="1"/>
  <c r="R143" i="3"/>
  <c r="S143" i="3" s="1"/>
  <c r="R144" i="3"/>
  <c r="S144" i="3" s="1"/>
  <c r="R145" i="3"/>
  <c r="S145" i="3" s="1"/>
  <c r="R146" i="3"/>
  <c r="S146" i="3" s="1"/>
  <c r="R147" i="3"/>
  <c r="S147" i="3" s="1"/>
  <c r="R148" i="3"/>
  <c r="S148" i="3" s="1"/>
  <c r="R149" i="3"/>
  <c r="S149" i="3" s="1"/>
  <c r="R150" i="3"/>
  <c r="S150" i="3" s="1"/>
  <c r="R151" i="3"/>
  <c r="S151" i="3" s="1"/>
  <c r="R152" i="3"/>
  <c r="S152" i="3" s="1"/>
  <c r="R154" i="3"/>
  <c r="S154" i="3" s="1"/>
  <c r="R153" i="3"/>
  <c r="S153" i="3" s="1"/>
  <c r="R155" i="3"/>
  <c r="S155" i="3" s="1"/>
  <c r="R157" i="3"/>
  <c r="S157" i="3" s="1"/>
  <c r="R156" i="3"/>
  <c r="S156" i="3" s="1"/>
  <c r="R158" i="3"/>
  <c r="S158" i="3" s="1"/>
  <c r="R159" i="3"/>
  <c r="S159" i="3" s="1"/>
  <c r="R160" i="3"/>
  <c r="S160" i="3" s="1"/>
  <c r="R161" i="3"/>
  <c r="S161" i="3" s="1"/>
  <c r="R163" i="3"/>
  <c r="S163" i="3" s="1"/>
  <c r="R162" i="3"/>
  <c r="S162" i="3" s="1"/>
  <c r="R165" i="3"/>
  <c r="S165" i="3" s="1"/>
  <c r="R166" i="3"/>
  <c r="S166" i="3" s="1"/>
  <c r="R164" i="3"/>
  <c r="S164" i="3" s="1"/>
  <c r="R167" i="3"/>
  <c r="S167" i="3" s="1"/>
  <c r="R168" i="3"/>
  <c r="S168" i="3" s="1"/>
  <c r="R169" i="3"/>
  <c r="S169" i="3" s="1"/>
  <c r="R170" i="3"/>
  <c r="S170" i="3" s="1"/>
  <c r="R171" i="3"/>
  <c r="S171" i="3" s="1"/>
  <c r="R172" i="3"/>
  <c r="S172" i="3" s="1"/>
  <c r="R173" i="3"/>
  <c r="S173" i="3" s="1"/>
  <c r="R174" i="3"/>
  <c r="S174" i="3" s="1"/>
  <c r="R175" i="3"/>
  <c r="S175" i="3" s="1"/>
  <c r="R176" i="3"/>
  <c r="S176" i="3" s="1"/>
  <c r="R177" i="3"/>
  <c r="S177" i="3" s="1"/>
  <c r="R179" i="3"/>
  <c r="S179" i="3" s="1"/>
  <c r="R178" i="3"/>
  <c r="S178" i="3" s="1"/>
  <c r="R180" i="3"/>
  <c r="S180" i="3" s="1"/>
  <c r="R181" i="3"/>
  <c r="S181" i="3" s="1"/>
  <c r="R182" i="3"/>
  <c r="S182" i="3" s="1"/>
  <c r="R183" i="3"/>
  <c r="S183" i="3" s="1"/>
  <c r="R184" i="3"/>
  <c r="S184" i="3" s="1"/>
  <c r="R185" i="3"/>
  <c r="S185" i="3" s="1"/>
  <c r="R186" i="3"/>
  <c r="S186" i="3" s="1"/>
  <c r="R187" i="3"/>
  <c r="S187" i="3" s="1"/>
  <c r="R188" i="3"/>
  <c r="S188" i="3" s="1"/>
  <c r="R189" i="3"/>
  <c r="S189" i="3" s="1"/>
  <c r="R190" i="3"/>
  <c r="S190" i="3" s="1"/>
  <c r="R191" i="3"/>
  <c r="S191" i="3" s="1"/>
  <c r="R192" i="3"/>
  <c r="S192" i="3" s="1"/>
  <c r="R193" i="3"/>
  <c r="S193" i="3" s="1"/>
  <c r="R194" i="3"/>
  <c r="S194" i="3" s="1"/>
  <c r="R195" i="3"/>
  <c r="S195" i="3" s="1"/>
  <c r="R196" i="3"/>
  <c r="S196" i="3" s="1"/>
  <c r="R197" i="3"/>
  <c r="S197" i="3" s="1"/>
  <c r="R198" i="3"/>
  <c r="S198" i="3" s="1"/>
  <c r="R199" i="3"/>
  <c r="S199" i="3" s="1"/>
  <c r="R200" i="3"/>
  <c r="S200" i="3" s="1"/>
  <c r="R201" i="3"/>
  <c r="S201" i="3" s="1"/>
  <c r="R203" i="3"/>
  <c r="S203" i="3" s="1"/>
  <c r="R202" i="3"/>
  <c r="S202" i="3" s="1"/>
  <c r="R204" i="3"/>
  <c r="S204" i="3" s="1"/>
  <c r="R205" i="3"/>
  <c r="S205" i="3" s="1"/>
  <c r="R206" i="3"/>
  <c r="S206" i="3" s="1"/>
  <c r="R207" i="3"/>
  <c r="S207" i="3" s="1"/>
  <c r="R208" i="3"/>
  <c r="S208" i="3" s="1"/>
  <c r="R209" i="3"/>
  <c r="S209" i="3" s="1"/>
  <c r="R210" i="3"/>
  <c r="S210" i="3" s="1"/>
  <c r="R212" i="3"/>
  <c r="S212" i="3" s="1"/>
  <c r="R211" i="3"/>
  <c r="S211" i="3" s="1"/>
  <c r="R214" i="3"/>
  <c r="S214" i="3" s="1"/>
  <c r="R213" i="3"/>
  <c r="S213" i="3" s="1"/>
  <c r="R215" i="3"/>
  <c r="S215" i="3" s="1"/>
  <c r="R216" i="3"/>
  <c r="S216" i="3" s="1"/>
  <c r="R217" i="3"/>
  <c r="S217" i="3" s="1"/>
  <c r="R218" i="3"/>
  <c r="S218" i="3" s="1"/>
  <c r="R219" i="3"/>
  <c r="S219" i="3" s="1"/>
  <c r="R220" i="3"/>
  <c r="S220" i="3" s="1"/>
  <c r="R221" i="3"/>
  <c r="S221" i="3" s="1"/>
  <c r="R222" i="3"/>
  <c r="S222" i="3" s="1"/>
  <c r="R223" i="3"/>
  <c r="S223" i="3" s="1"/>
  <c r="R224" i="3"/>
  <c r="S224" i="3" s="1"/>
  <c r="R225" i="3"/>
  <c r="S225" i="3" s="1"/>
  <c r="R226" i="3"/>
  <c r="S226" i="3" s="1"/>
  <c r="R227" i="3"/>
  <c r="S227" i="3" s="1"/>
  <c r="R228" i="3"/>
  <c r="S228" i="3" s="1"/>
  <c r="R229" i="3"/>
  <c r="S229" i="3" s="1"/>
  <c r="R230" i="3"/>
  <c r="S230" i="3" s="1"/>
  <c r="R231" i="3"/>
  <c r="S231" i="3" s="1"/>
  <c r="R232" i="3"/>
  <c r="S232" i="3" s="1"/>
  <c r="R233" i="3"/>
  <c r="S233" i="3" s="1"/>
  <c r="R234" i="3"/>
  <c r="S234" i="3" s="1"/>
  <c r="R235" i="3"/>
  <c r="S235" i="3" s="1"/>
  <c r="R236" i="3"/>
  <c r="S236" i="3" s="1"/>
  <c r="R237" i="3"/>
  <c r="S237" i="3" s="1"/>
  <c r="R238" i="3"/>
  <c r="S238" i="3" s="1"/>
  <c r="R239" i="3"/>
  <c r="S239" i="3" s="1"/>
  <c r="R240" i="3"/>
  <c r="S240" i="3" s="1"/>
  <c r="R241" i="3"/>
  <c r="S241" i="3" s="1"/>
  <c r="R243" i="3"/>
  <c r="S243" i="3" s="1"/>
  <c r="R242" i="3"/>
  <c r="S242" i="3" s="1"/>
  <c r="R244" i="3"/>
  <c r="S244" i="3" s="1"/>
  <c r="R245" i="3"/>
  <c r="S245" i="3" s="1"/>
  <c r="R246" i="3"/>
  <c r="S246" i="3" s="1"/>
  <c r="R247" i="3"/>
  <c r="S247" i="3" s="1"/>
  <c r="R248" i="3"/>
  <c r="S248" i="3" s="1"/>
  <c r="R249" i="3"/>
  <c r="S249" i="3" s="1"/>
  <c r="R250" i="3"/>
  <c r="S250" i="3" s="1"/>
  <c r="R251" i="3"/>
  <c r="S251" i="3" s="1"/>
  <c r="R252" i="3"/>
  <c r="S252" i="3" s="1"/>
  <c r="R253" i="3"/>
  <c r="S253" i="3" s="1"/>
  <c r="R254" i="3"/>
  <c r="S254" i="3" s="1"/>
  <c r="R255" i="3"/>
  <c r="S255" i="3" s="1"/>
  <c r="R256" i="3"/>
  <c r="S256" i="3" s="1"/>
  <c r="R257" i="3"/>
  <c r="S257" i="3" s="1"/>
  <c r="R258" i="3"/>
  <c r="S258" i="3" s="1"/>
  <c r="R259" i="3"/>
  <c r="S259" i="3" s="1"/>
  <c r="R260" i="3"/>
  <c r="S260" i="3" s="1"/>
  <c r="R261" i="3"/>
  <c r="S261" i="3" s="1"/>
  <c r="R262" i="3"/>
  <c r="S262" i="3" s="1"/>
  <c r="R264" i="3"/>
  <c r="S264" i="3" s="1"/>
  <c r="R263" i="3"/>
  <c r="S263" i="3" s="1"/>
  <c r="R265" i="3"/>
  <c r="S265" i="3" s="1"/>
  <c r="R266" i="3"/>
  <c r="S266" i="3" s="1"/>
  <c r="R267" i="3"/>
  <c r="S267" i="3" s="1"/>
  <c r="R268" i="3"/>
  <c r="S268" i="3" s="1"/>
  <c r="R269" i="3"/>
  <c r="S269" i="3" s="1"/>
  <c r="R270" i="3"/>
  <c r="S270" i="3" s="1"/>
  <c r="R271" i="3"/>
  <c r="S271" i="3" s="1"/>
  <c r="R272" i="3"/>
  <c r="S272" i="3" s="1"/>
  <c r="R273" i="3"/>
  <c r="S273" i="3" s="1"/>
  <c r="R275" i="3"/>
  <c r="S275" i="3" s="1"/>
  <c r="R274" i="3"/>
  <c r="S274" i="3" s="1"/>
  <c r="R276" i="3"/>
  <c r="S276" i="3" s="1"/>
  <c r="R278" i="3"/>
  <c r="S278" i="3" s="1"/>
  <c r="R277" i="3"/>
  <c r="S277" i="3" s="1"/>
  <c r="R279" i="3"/>
  <c r="S279" i="3" s="1"/>
  <c r="R280" i="3"/>
  <c r="S280" i="3" s="1"/>
  <c r="R281" i="3"/>
  <c r="S281" i="3" s="1"/>
  <c r="R282" i="3"/>
  <c r="S282" i="3" s="1"/>
  <c r="R284" i="3"/>
  <c r="S284" i="3" s="1"/>
  <c r="R285" i="3"/>
  <c r="S285" i="3" s="1"/>
  <c r="R287" i="3"/>
  <c r="S287" i="3" s="1"/>
  <c r="R286" i="3"/>
  <c r="S286" i="3" s="1"/>
  <c r="R288" i="3"/>
  <c r="S288" i="3" s="1"/>
  <c r="R289" i="3"/>
  <c r="S289" i="3" s="1"/>
  <c r="R290" i="3"/>
  <c r="S290" i="3" s="1"/>
  <c r="R291" i="3"/>
  <c r="S291" i="3" s="1"/>
  <c r="R292" i="3"/>
  <c r="S292" i="3" s="1"/>
  <c r="R293" i="3"/>
  <c r="S293" i="3" s="1"/>
  <c r="R294" i="3"/>
  <c r="S294" i="3" s="1"/>
  <c r="R295" i="3"/>
  <c r="S295" i="3" s="1"/>
  <c r="R296" i="3"/>
  <c r="S296" i="3" s="1"/>
  <c r="R297" i="3"/>
  <c r="S297" i="3" s="1"/>
  <c r="R298" i="3"/>
  <c r="S298" i="3" s="1"/>
  <c r="R299" i="3"/>
  <c r="S299" i="3" s="1"/>
  <c r="R300" i="3"/>
  <c r="S300" i="3" s="1"/>
  <c r="R301" i="3"/>
  <c r="S301" i="3" s="1"/>
  <c r="R302" i="3"/>
  <c r="S302" i="3" s="1"/>
  <c r="R303" i="3"/>
  <c r="S303" i="3" s="1"/>
  <c r="R304" i="3"/>
  <c r="S304" i="3" s="1"/>
  <c r="R305" i="3"/>
  <c r="S305" i="3" s="1"/>
  <c r="R306" i="3"/>
  <c r="S306" i="3" s="1"/>
  <c r="R307" i="3"/>
  <c r="S307" i="3" s="1"/>
  <c r="R308" i="3"/>
  <c r="S308" i="3" s="1"/>
  <c r="R309" i="3"/>
  <c r="S309" i="3" s="1"/>
  <c r="R310" i="3"/>
  <c r="S310" i="3" s="1"/>
  <c r="R311" i="3"/>
  <c r="S311" i="3" s="1"/>
  <c r="R312" i="3"/>
  <c r="S312" i="3" s="1"/>
  <c r="R313" i="3"/>
  <c r="S313" i="3" s="1"/>
  <c r="R314" i="3"/>
  <c r="S314" i="3" s="1"/>
  <c r="R315" i="3"/>
  <c r="S315" i="3" s="1"/>
  <c r="R316" i="3"/>
  <c r="S316" i="3" s="1"/>
  <c r="R317" i="3"/>
  <c r="S317" i="3" s="1"/>
  <c r="R318" i="3"/>
  <c r="S318" i="3" s="1"/>
  <c r="R320" i="3"/>
  <c r="S320" i="3" s="1"/>
  <c r="R319" i="3"/>
  <c r="S319" i="3" s="1"/>
  <c r="R321" i="3"/>
  <c r="S321" i="3" s="1"/>
  <c r="R322" i="3"/>
  <c r="S322" i="3" s="1"/>
  <c r="R323" i="3"/>
  <c r="S323" i="3" s="1"/>
  <c r="R324" i="3"/>
  <c r="S324" i="3" s="1"/>
  <c r="R325" i="3"/>
  <c r="S325" i="3" s="1"/>
  <c r="R327" i="3"/>
  <c r="S327" i="3" s="1"/>
  <c r="R326" i="3"/>
  <c r="S326" i="3" s="1"/>
  <c r="R328" i="3"/>
  <c r="S328" i="3" s="1"/>
  <c r="R330" i="3"/>
  <c r="S330" i="3" s="1"/>
  <c r="R329" i="3"/>
  <c r="S329" i="3" s="1"/>
  <c r="R331" i="3"/>
  <c r="S331" i="3" s="1"/>
  <c r="R332" i="3"/>
  <c r="S332" i="3" s="1"/>
  <c r="R334" i="3"/>
  <c r="S334" i="3" s="1"/>
  <c r="R333" i="3"/>
  <c r="S333" i="3" s="1"/>
  <c r="R335" i="3"/>
  <c r="S335" i="3" s="1"/>
  <c r="R336" i="3"/>
  <c r="S336" i="3" s="1"/>
  <c r="R337" i="3"/>
  <c r="S337" i="3" s="1"/>
  <c r="R338" i="3"/>
  <c r="S338" i="3" s="1"/>
  <c r="R339" i="3"/>
  <c r="S339" i="3" s="1"/>
  <c r="R340" i="3"/>
  <c r="S340" i="3" s="1"/>
  <c r="R341" i="3"/>
  <c r="S341" i="3" s="1"/>
  <c r="R342" i="3"/>
  <c r="S342" i="3" s="1"/>
  <c r="R343" i="3"/>
  <c r="S343" i="3" s="1"/>
  <c r="R344" i="3"/>
  <c r="S344" i="3" s="1"/>
  <c r="R345" i="3"/>
  <c r="S345" i="3" s="1"/>
  <c r="R346" i="3"/>
  <c r="S346" i="3" s="1"/>
  <c r="R347" i="3"/>
  <c r="S347" i="3" s="1"/>
  <c r="R348" i="3"/>
  <c r="S348" i="3" s="1"/>
  <c r="R349" i="3"/>
  <c r="S349" i="3" s="1"/>
  <c r="R350" i="3"/>
  <c r="S350" i="3" s="1"/>
  <c r="R351" i="3"/>
  <c r="S351" i="3" s="1"/>
  <c r="R353" i="3"/>
  <c r="S353" i="3" s="1"/>
  <c r="R352" i="3"/>
  <c r="S352" i="3" s="1"/>
  <c r="R354" i="3"/>
  <c r="S354" i="3" s="1"/>
  <c r="R355" i="3"/>
  <c r="S355" i="3" s="1"/>
  <c r="R356" i="3"/>
  <c r="S356" i="3" s="1"/>
  <c r="R357" i="3"/>
  <c r="S357" i="3" s="1"/>
  <c r="R358" i="3"/>
  <c r="S358" i="3" s="1"/>
  <c r="R359" i="3"/>
  <c r="S359" i="3" s="1"/>
  <c r="R360" i="3"/>
  <c r="S360" i="3" s="1"/>
  <c r="R361" i="3"/>
  <c r="S361" i="3" s="1"/>
  <c r="R362" i="3"/>
  <c r="S362" i="3" s="1"/>
  <c r="R363" i="3"/>
  <c r="S363" i="3" s="1"/>
  <c r="R364" i="3"/>
  <c r="S364" i="3" s="1"/>
  <c r="R365" i="3"/>
  <c r="S365" i="3" s="1"/>
  <c r="R366" i="3"/>
  <c r="S366" i="3" s="1"/>
  <c r="R367" i="3"/>
  <c r="S367" i="3" s="1"/>
  <c r="R368" i="3"/>
  <c r="S368" i="3" s="1"/>
  <c r="R369" i="3"/>
  <c r="S369" i="3" s="1"/>
  <c r="R2" i="3"/>
  <c r="S2" i="3" s="1"/>
  <c r="Q3" i="3"/>
  <c r="Q4" i="3"/>
  <c r="Q5" i="3"/>
  <c r="Q6" i="3"/>
  <c r="Q7" i="3"/>
  <c r="Q8" i="3"/>
  <c r="Q9" i="3"/>
  <c r="Q10" i="3"/>
  <c r="Q11" i="3"/>
  <c r="Q12" i="3"/>
  <c r="O12" i="3" s="1"/>
  <c r="Q13" i="3"/>
  <c r="Q14" i="3"/>
  <c r="Q15" i="3"/>
  <c r="Q16" i="3"/>
  <c r="Q17" i="3"/>
  <c r="Q18" i="3"/>
  <c r="Q19" i="3"/>
  <c r="Q21" i="3"/>
  <c r="Q20" i="3"/>
  <c r="Q22" i="3"/>
  <c r="Q23" i="3"/>
  <c r="Q24" i="3"/>
  <c r="Q25" i="3"/>
  <c r="Q26" i="3"/>
  <c r="Q27" i="3"/>
  <c r="Q28" i="3"/>
  <c r="Q29" i="3"/>
  <c r="O29" i="3" s="1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O64" i="3" s="1"/>
  <c r="Q65" i="3"/>
  <c r="Q66" i="3"/>
  <c r="Q67" i="3"/>
  <c r="Q68" i="3"/>
  <c r="Q69" i="3"/>
  <c r="Q70" i="3"/>
  <c r="Q71" i="3"/>
  <c r="Q72" i="3"/>
  <c r="Q73" i="3"/>
  <c r="O73" i="3" s="1"/>
  <c r="Q75" i="3"/>
  <c r="Q74" i="3"/>
  <c r="Q76" i="3"/>
  <c r="Q77" i="3"/>
  <c r="Q78" i="3"/>
  <c r="Q79" i="3"/>
  <c r="Q80" i="3"/>
  <c r="Q81" i="3"/>
  <c r="Q82" i="3"/>
  <c r="Q83" i="3"/>
  <c r="Q84" i="3"/>
  <c r="Q85" i="3"/>
  <c r="O85" i="3" s="1"/>
  <c r="Q86" i="3"/>
  <c r="Q87" i="3"/>
  <c r="Q89" i="3"/>
  <c r="Q88" i="3"/>
  <c r="Q90" i="3"/>
  <c r="Q91" i="3"/>
  <c r="O91" i="3" s="1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O121" i="3" s="1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9" i="3"/>
  <c r="Q138" i="3"/>
  <c r="Q140" i="3"/>
  <c r="Q141" i="3"/>
  <c r="Q142" i="3"/>
  <c r="Q143" i="3"/>
  <c r="O143" i="3" s="1"/>
  <c r="Q144" i="3"/>
  <c r="O144" i="3" s="1"/>
  <c r="Q145" i="3"/>
  <c r="Q146" i="3"/>
  <c r="Q147" i="3"/>
  <c r="Q148" i="3"/>
  <c r="Q149" i="3"/>
  <c r="Q150" i="3"/>
  <c r="Q151" i="3"/>
  <c r="Q152" i="3"/>
  <c r="Q154" i="3"/>
  <c r="Q153" i="3"/>
  <c r="Q155" i="3"/>
  <c r="Q157" i="3"/>
  <c r="Q156" i="3"/>
  <c r="Q158" i="3"/>
  <c r="Q159" i="3"/>
  <c r="Q160" i="3"/>
  <c r="Q161" i="3"/>
  <c r="Q163" i="3"/>
  <c r="Q162" i="3"/>
  <c r="Q165" i="3"/>
  <c r="Q166" i="3"/>
  <c r="Q164" i="3"/>
  <c r="O164" i="3" s="1"/>
  <c r="Q167" i="3"/>
  <c r="Q168" i="3"/>
  <c r="Q169" i="3"/>
  <c r="Q170" i="3"/>
  <c r="Q171" i="3"/>
  <c r="Q172" i="3"/>
  <c r="Q173" i="3"/>
  <c r="Q174" i="3"/>
  <c r="Q175" i="3"/>
  <c r="Q176" i="3"/>
  <c r="Q177" i="3"/>
  <c r="Q179" i="3"/>
  <c r="Q178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3" i="3"/>
  <c r="Q202" i="3"/>
  <c r="Q204" i="3"/>
  <c r="Q205" i="3"/>
  <c r="Q206" i="3"/>
  <c r="Q207" i="3"/>
  <c r="Q208" i="3"/>
  <c r="Q209" i="3"/>
  <c r="Q210" i="3"/>
  <c r="Q212" i="3"/>
  <c r="Q211" i="3"/>
  <c r="Q214" i="3"/>
  <c r="Q213" i="3"/>
  <c r="Q215" i="3"/>
  <c r="Q216" i="3"/>
  <c r="Q217" i="3"/>
  <c r="Q218" i="3"/>
  <c r="Q219" i="3"/>
  <c r="Q220" i="3"/>
  <c r="O220" i="3" s="1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3" i="3"/>
  <c r="Q242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O260" i="3" s="1"/>
  <c r="Q261" i="3"/>
  <c r="Q262" i="3"/>
  <c r="Q264" i="3"/>
  <c r="Q263" i="3"/>
  <c r="Q265" i="3"/>
  <c r="Q266" i="3"/>
  <c r="Q267" i="3"/>
  <c r="Q268" i="3"/>
  <c r="Q269" i="3"/>
  <c r="Q270" i="3"/>
  <c r="Q271" i="3"/>
  <c r="Q272" i="3"/>
  <c r="Q273" i="3"/>
  <c r="Q275" i="3"/>
  <c r="Q274" i="3"/>
  <c r="Q276" i="3"/>
  <c r="Q278" i="3"/>
  <c r="Q277" i="3"/>
  <c r="Q279" i="3"/>
  <c r="Q280" i="3"/>
  <c r="Q281" i="3"/>
  <c r="Q282" i="3"/>
  <c r="Q283" i="3"/>
  <c r="Q284" i="3"/>
  <c r="Q285" i="3"/>
  <c r="Q287" i="3"/>
  <c r="Q286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20" i="3"/>
  <c r="Q319" i="3"/>
  <c r="Q321" i="3"/>
  <c r="Q322" i="3"/>
  <c r="Q323" i="3"/>
  <c r="Q324" i="3"/>
  <c r="Q325" i="3"/>
  <c r="Q327" i="3"/>
  <c r="Q326" i="3"/>
  <c r="Q328" i="3"/>
  <c r="Q330" i="3"/>
  <c r="Q329" i="3"/>
  <c r="Q331" i="3"/>
  <c r="Q332" i="3"/>
  <c r="Q334" i="3"/>
  <c r="Q333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O351" i="3" s="1"/>
  <c r="Q353" i="3"/>
  <c r="Q352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2" i="3"/>
  <c r="N21" i="3"/>
  <c r="N27" i="3"/>
  <c r="N31" i="3"/>
  <c r="N70" i="3"/>
  <c r="N78" i="3"/>
  <c r="N83" i="3"/>
  <c r="N84" i="3"/>
  <c r="N102" i="3"/>
  <c r="N103" i="3"/>
  <c r="N108" i="3"/>
  <c r="N119" i="3"/>
  <c r="N127" i="3"/>
  <c r="N141" i="3"/>
  <c r="N157" i="3"/>
  <c r="N158" i="3"/>
  <c r="N160" i="3"/>
  <c r="N163" i="3"/>
  <c r="N183" i="3"/>
  <c r="N193" i="3"/>
  <c r="N197" i="3"/>
  <c r="N200" i="3"/>
  <c r="N203" i="3"/>
  <c r="N230" i="3"/>
  <c r="N235" i="3"/>
  <c r="N244" i="3"/>
  <c r="N250" i="3"/>
  <c r="N254" i="3"/>
  <c r="N261" i="3"/>
  <c r="N263" i="3"/>
  <c r="N284" i="3"/>
  <c r="N287" i="3"/>
  <c r="N292" i="3"/>
  <c r="N293" i="3"/>
  <c r="N302" i="3"/>
  <c r="N325" i="3"/>
  <c r="N335" i="3"/>
  <c r="N340" i="3"/>
  <c r="N343" i="3"/>
  <c r="N346" i="3"/>
  <c r="N355" i="3"/>
  <c r="N367" i="3"/>
  <c r="N2" i="3"/>
  <c r="N3" i="3"/>
  <c r="N4" i="3"/>
  <c r="N5" i="3"/>
  <c r="N6" i="3"/>
  <c r="N7" i="3"/>
  <c r="N8" i="3"/>
  <c r="N9" i="3"/>
  <c r="N10" i="3"/>
  <c r="N11" i="3"/>
  <c r="N13" i="3"/>
  <c r="N14" i="3"/>
  <c r="N15" i="3"/>
  <c r="N16" i="3"/>
  <c r="N17" i="3"/>
  <c r="N18" i="3"/>
  <c r="N19" i="3"/>
  <c r="N20" i="3"/>
  <c r="N22" i="3"/>
  <c r="N23" i="3"/>
  <c r="N24" i="3"/>
  <c r="N25" i="3"/>
  <c r="N26" i="3"/>
  <c r="N28" i="3"/>
  <c r="N30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5" i="3"/>
  <c r="N66" i="3"/>
  <c r="N67" i="3"/>
  <c r="N68" i="3"/>
  <c r="N69" i="3"/>
  <c r="N71" i="3"/>
  <c r="N72" i="3"/>
  <c r="N75" i="3"/>
  <c r="N74" i="3"/>
  <c r="N76" i="3"/>
  <c r="N77" i="3"/>
  <c r="N79" i="3"/>
  <c r="N80" i="3"/>
  <c r="N81" i="3"/>
  <c r="N82" i="3"/>
  <c r="N86" i="3"/>
  <c r="N87" i="3"/>
  <c r="N89" i="3"/>
  <c r="N88" i="3"/>
  <c r="N90" i="3"/>
  <c r="N92" i="3"/>
  <c r="N93" i="3"/>
  <c r="N94" i="3"/>
  <c r="N95" i="3"/>
  <c r="N96" i="3"/>
  <c r="N97" i="3"/>
  <c r="N98" i="3"/>
  <c r="N99" i="3"/>
  <c r="N100" i="3"/>
  <c r="N101" i="3"/>
  <c r="N104" i="3"/>
  <c r="N105" i="3"/>
  <c r="N106" i="3"/>
  <c r="N107" i="3"/>
  <c r="N109" i="3"/>
  <c r="N110" i="3"/>
  <c r="N111" i="3"/>
  <c r="N112" i="3"/>
  <c r="N113" i="3"/>
  <c r="N114" i="3"/>
  <c r="N115" i="3"/>
  <c r="N116" i="3"/>
  <c r="N117" i="3"/>
  <c r="N118" i="3"/>
  <c r="N120" i="3"/>
  <c r="N122" i="3"/>
  <c r="N123" i="3"/>
  <c r="N124" i="3"/>
  <c r="N125" i="3"/>
  <c r="N126" i="3"/>
  <c r="N128" i="3"/>
  <c r="N129" i="3"/>
  <c r="N130" i="3"/>
  <c r="N131" i="3"/>
  <c r="N132" i="3"/>
  <c r="N133" i="3"/>
  <c r="N134" i="3"/>
  <c r="N135" i="3"/>
  <c r="N136" i="3"/>
  <c r="N137" i="3"/>
  <c r="N139" i="3"/>
  <c r="N138" i="3"/>
  <c r="N140" i="3"/>
  <c r="N142" i="3"/>
  <c r="N145" i="3"/>
  <c r="N146" i="3"/>
  <c r="N147" i="3"/>
  <c r="N148" i="3"/>
  <c r="N149" i="3"/>
  <c r="N150" i="3"/>
  <c r="N151" i="3"/>
  <c r="N152" i="3"/>
  <c r="N154" i="3"/>
  <c r="N153" i="3"/>
  <c r="N155" i="3"/>
  <c r="N156" i="3"/>
  <c r="N159" i="3"/>
  <c r="N161" i="3"/>
  <c r="N162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9" i="3"/>
  <c r="N178" i="3"/>
  <c r="N180" i="3"/>
  <c r="N181" i="3"/>
  <c r="N182" i="3"/>
  <c r="N184" i="3"/>
  <c r="N185" i="3"/>
  <c r="N186" i="3"/>
  <c r="N187" i="3"/>
  <c r="N188" i="3"/>
  <c r="N189" i="3"/>
  <c r="N190" i="3"/>
  <c r="N191" i="3"/>
  <c r="N192" i="3"/>
  <c r="N194" i="3"/>
  <c r="N195" i="3"/>
  <c r="N196" i="3"/>
  <c r="N198" i="3"/>
  <c r="N199" i="3"/>
  <c r="N201" i="3"/>
  <c r="N202" i="3"/>
  <c r="N204" i="3"/>
  <c r="N205" i="3"/>
  <c r="N206" i="3"/>
  <c r="N207" i="3"/>
  <c r="N208" i="3"/>
  <c r="N209" i="3"/>
  <c r="N210" i="3"/>
  <c r="N212" i="3"/>
  <c r="N211" i="3"/>
  <c r="N214" i="3"/>
  <c r="N213" i="3"/>
  <c r="N215" i="3"/>
  <c r="N216" i="3"/>
  <c r="N217" i="3"/>
  <c r="N218" i="3"/>
  <c r="N219" i="3"/>
  <c r="N221" i="3"/>
  <c r="N222" i="3"/>
  <c r="N223" i="3"/>
  <c r="N224" i="3"/>
  <c r="N225" i="3"/>
  <c r="N226" i="3"/>
  <c r="N227" i="3"/>
  <c r="N228" i="3"/>
  <c r="N229" i="3"/>
  <c r="N231" i="3"/>
  <c r="N232" i="3"/>
  <c r="N233" i="3"/>
  <c r="N234" i="3"/>
  <c r="N236" i="3"/>
  <c r="N237" i="3"/>
  <c r="N238" i="3"/>
  <c r="N239" i="3"/>
  <c r="N240" i="3"/>
  <c r="N241" i="3"/>
  <c r="N243" i="3"/>
  <c r="N242" i="3"/>
  <c r="N245" i="3"/>
  <c r="N246" i="3"/>
  <c r="N247" i="3"/>
  <c r="N248" i="3"/>
  <c r="N249" i="3"/>
  <c r="N251" i="3"/>
  <c r="N252" i="3"/>
  <c r="N253" i="3"/>
  <c r="N255" i="3"/>
  <c r="N256" i="3"/>
  <c r="N257" i="3"/>
  <c r="N258" i="3"/>
  <c r="N259" i="3"/>
  <c r="N262" i="3"/>
  <c r="N264" i="3"/>
  <c r="N265" i="3"/>
  <c r="N266" i="3"/>
  <c r="N267" i="3"/>
  <c r="N268" i="3"/>
  <c r="N269" i="3"/>
  <c r="N270" i="3"/>
  <c r="N271" i="3"/>
  <c r="N272" i="3"/>
  <c r="N273" i="3"/>
  <c r="N275" i="3"/>
  <c r="N274" i="3"/>
  <c r="N276" i="3"/>
  <c r="N278" i="3"/>
  <c r="N277" i="3"/>
  <c r="N279" i="3"/>
  <c r="N280" i="3"/>
  <c r="N281" i="3"/>
  <c r="N282" i="3"/>
  <c r="N283" i="3"/>
  <c r="N285" i="3"/>
  <c r="N286" i="3"/>
  <c r="N288" i="3"/>
  <c r="N289" i="3"/>
  <c r="N290" i="3"/>
  <c r="N291" i="3"/>
  <c r="N294" i="3"/>
  <c r="N295" i="3"/>
  <c r="N296" i="3"/>
  <c r="N297" i="3"/>
  <c r="N298" i="3"/>
  <c r="N299" i="3"/>
  <c r="N300" i="3"/>
  <c r="N301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20" i="3"/>
  <c r="N319" i="3"/>
  <c r="N321" i="3"/>
  <c r="N322" i="3"/>
  <c r="N323" i="3"/>
  <c r="N324" i="3"/>
  <c r="N327" i="3"/>
  <c r="N326" i="3"/>
  <c r="N328" i="3"/>
  <c r="N330" i="3"/>
  <c r="N329" i="3"/>
  <c r="N331" i="3"/>
  <c r="N332" i="3"/>
  <c r="N334" i="3"/>
  <c r="N333" i="3"/>
  <c r="N336" i="3"/>
  <c r="N337" i="3"/>
  <c r="N338" i="3"/>
  <c r="N339" i="3"/>
  <c r="N341" i="3"/>
  <c r="N342" i="3"/>
  <c r="N344" i="3"/>
  <c r="N345" i="3"/>
  <c r="N347" i="3"/>
  <c r="N348" i="3"/>
  <c r="N349" i="3"/>
  <c r="N350" i="3"/>
  <c r="N353" i="3"/>
  <c r="N352" i="3"/>
  <c r="N354" i="3"/>
  <c r="N356" i="3"/>
  <c r="N357" i="3"/>
  <c r="N358" i="3"/>
  <c r="N359" i="3"/>
  <c r="N360" i="3"/>
  <c r="N361" i="3"/>
  <c r="N362" i="3"/>
  <c r="N363" i="3"/>
  <c r="N364" i="3"/>
  <c r="N365" i="3"/>
  <c r="N366" i="3"/>
  <c r="N368" i="3"/>
  <c r="N369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1" i="3"/>
  <c r="B20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5" i="3"/>
  <c r="B74" i="3"/>
  <c r="B76" i="3"/>
  <c r="B77" i="3"/>
  <c r="B78" i="3"/>
  <c r="B79" i="3"/>
  <c r="B80" i="3"/>
  <c r="B81" i="3"/>
  <c r="B82" i="3"/>
  <c r="B83" i="3"/>
  <c r="B84" i="3"/>
  <c r="B85" i="3"/>
  <c r="B86" i="3"/>
  <c r="B87" i="3"/>
  <c r="B89" i="3"/>
  <c r="B88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9" i="3"/>
  <c r="B138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4" i="3"/>
  <c r="B153" i="3"/>
  <c r="B155" i="3"/>
  <c r="B157" i="3"/>
  <c r="B156" i="3"/>
  <c r="B158" i="3"/>
  <c r="B159" i="3"/>
  <c r="B160" i="3"/>
  <c r="B161" i="3"/>
  <c r="B163" i="3"/>
  <c r="B162" i="3"/>
  <c r="B165" i="3"/>
  <c r="B166" i="3"/>
  <c r="B164" i="3"/>
  <c r="B167" i="3"/>
  <c r="B168" i="3"/>
  <c r="B169" i="3"/>
  <c r="B170" i="3"/>
  <c r="B171" i="3"/>
  <c r="B172" i="3"/>
  <c r="B173" i="3"/>
  <c r="B174" i="3"/>
  <c r="B175" i="3"/>
  <c r="B176" i="3"/>
  <c r="B177" i="3"/>
  <c r="B179" i="3"/>
  <c r="B178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1" i="3"/>
  <c r="B203" i="3"/>
  <c r="B202" i="3"/>
  <c r="B204" i="3"/>
  <c r="B205" i="3"/>
  <c r="B206" i="3"/>
  <c r="B207" i="3"/>
  <c r="B208" i="3"/>
  <c r="B209" i="3"/>
  <c r="B210" i="3"/>
  <c r="B212" i="3"/>
  <c r="B211" i="3"/>
  <c r="B214" i="3"/>
  <c r="B213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3" i="3"/>
  <c r="B242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4" i="3"/>
  <c r="B263" i="3"/>
  <c r="B265" i="3"/>
  <c r="B266" i="3"/>
  <c r="B267" i="3"/>
  <c r="B268" i="3"/>
  <c r="B269" i="3"/>
  <c r="B270" i="3"/>
  <c r="B271" i="3"/>
  <c r="B272" i="3"/>
  <c r="B273" i="3"/>
  <c r="B275" i="3"/>
  <c r="B274" i="3"/>
  <c r="B276" i="3"/>
  <c r="B278" i="3"/>
  <c r="B277" i="3"/>
  <c r="B279" i="3"/>
  <c r="B280" i="3"/>
  <c r="B281" i="3"/>
  <c r="B282" i="3"/>
  <c r="B283" i="3"/>
  <c r="B284" i="3"/>
  <c r="B285" i="3"/>
  <c r="B287" i="3"/>
  <c r="B286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20" i="3"/>
  <c r="B319" i="3"/>
  <c r="B321" i="3"/>
  <c r="B322" i="3"/>
  <c r="B323" i="3"/>
  <c r="B324" i="3"/>
  <c r="B325" i="3"/>
  <c r="B327" i="3"/>
  <c r="B326" i="3"/>
  <c r="B328" i="3"/>
  <c r="B330" i="3"/>
  <c r="B329" i="3"/>
  <c r="B331" i="3"/>
  <c r="B332" i="3"/>
  <c r="B334" i="3"/>
  <c r="B333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3" i="3"/>
  <c r="B352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C2" i="3"/>
  <c r="C3" i="3"/>
  <c r="C4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1" i="3"/>
  <c r="C20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5" i="3"/>
  <c r="C74" i="3"/>
  <c r="C76" i="3"/>
  <c r="C77" i="3"/>
  <c r="C78" i="3"/>
  <c r="C79" i="3"/>
  <c r="C80" i="3"/>
  <c r="C81" i="3"/>
  <c r="C82" i="3"/>
  <c r="C83" i="3"/>
  <c r="C84" i="3"/>
  <c r="C85" i="3"/>
  <c r="C86" i="3"/>
  <c r="C87" i="3"/>
  <c r="C89" i="3"/>
  <c r="C88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9" i="3"/>
  <c r="C138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4" i="3"/>
  <c r="C153" i="3"/>
  <c r="C155" i="3"/>
  <c r="C157" i="3"/>
  <c r="C156" i="3"/>
  <c r="C158" i="3"/>
  <c r="C159" i="3"/>
  <c r="C160" i="3"/>
  <c r="C161" i="3"/>
  <c r="C163" i="3"/>
  <c r="C162" i="3"/>
  <c r="C165" i="3"/>
  <c r="C166" i="3"/>
  <c r="C164" i="3"/>
  <c r="C167" i="3"/>
  <c r="C168" i="3"/>
  <c r="C169" i="3"/>
  <c r="C170" i="3"/>
  <c r="C171" i="3"/>
  <c r="C172" i="3"/>
  <c r="C173" i="3"/>
  <c r="C174" i="3"/>
  <c r="C175" i="3"/>
  <c r="C176" i="3"/>
  <c r="C177" i="3"/>
  <c r="C179" i="3"/>
  <c r="C178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3" i="3"/>
  <c r="C202" i="3"/>
  <c r="C204" i="3"/>
  <c r="C205" i="3"/>
  <c r="C206" i="3"/>
  <c r="C207" i="3"/>
  <c r="C208" i="3"/>
  <c r="C209" i="3"/>
  <c r="C210" i="3"/>
  <c r="C212" i="3"/>
  <c r="C211" i="3"/>
  <c r="C214" i="3"/>
  <c r="C213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3" i="3"/>
  <c r="C242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4" i="3"/>
  <c r="C263" i="3"/>
  <c r="C265" i="3"/>
  <c r="C266" i="3"/>
  <c r="C267" i="3"/>
  <c r="C268" i="3"/>
  <c r="C269" i="3"/>
  <c r="C270" i="3"/>
  <c r="C271" i="3"/>
  <c r="C272" i="3"/>
  <c r="C273" i="3"/>
  <c r="C275" i="3"/>
  <c r="C274" i="3"/>
  <c r="C276" i="3"/>
  <c r="C278" i="3"/>
  <c r="C277" i="3"/>
  <c r="C279" i="3"/>
  <c r="C280" i="3"/>
  <c r="C281" i="3"/>
  <c r="C282" i="3"/>
  <c r="C283" i="3"/>
  <c r="C284" i="3"/>
  <c r="C285" i="3"/>
  <c r="C287" i="3"/>
  <c r="C286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20" i="3"/>
  <c r="C319" i="3"/>
  <c r="C321" i="3"/>
  <c r="C322" i="3"/>
  <c r="C323" i="3"/>
  <c r="C324" i="3"/>
  <c r="C325" i="3"/>
  <c r="C327" i="3"/>
  <c r="C326" i="3"/>
  <c r="C328" i="3"/>
  <c r="C330" i="3"/>
  <c r="C329" i="3"/>
  <c r="C331" i="3"/>
  <c r="C332" i="3"/>
  <c r="C334" i="3"/>
  <c r="C333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3" i="3"/>
  <c r="C352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H3" i="3" l="1"/>
  <c r="I3" i="3"/>
  <c r="H2" i="3"/>
  <c r="I2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5" i="3"/>
  <c r="I184" i="3"/>
  <c r="I182" i="3"/>
  <c r="I181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0" i="3"/>
  <c r="I139" i="3"/>
  <c r="I138" i="3"/>
  <c r="I137" i="3"/>
  <c r="I136" i="3"/>
  <c r="I135" i="3"/>
  <c r="I134" i="3"/>
  <c r="I133" i="3"/>
  <c r="I132" i="3"/>
  <c r="I131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7" i="3"/>
  <c r="I96" i="3"/>
  <c r="I95" i="3"/>
  <c r="I94" i="3"/>
  <c r="I93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O2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2" i="3"/>
  <c r="O353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3" i="3"/>
  <c r="O334" i="3"/>
  <c r="O332" i="3"/>
  <c r="O331" i="3"/>
  <c r="O329" i="3"/>
  <c r="O330" i="3"/>
  <c r="O328" i="3"/>
  <c r="O326" i="3"/>
  <c r="O327" i="3"/>
  <c r="O325" i="3"/>
  <c r="O324" i="3"/>
  <c r="O323" i="3"/>
  <c r="O322" i="3"/>
  <c r="O321" i="3"/>
  <c r="O319" i="3"/>
  <c r="O320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6" i="3"/>
  <c r="O287" i="3"/>
  <c r="O285" i="3"/>
  <c r="O284" i="3"/>
  <c r="O283" i="3"/>
  <c r="O282" i="3"/>
  <c r="O281" i="3"/>
  <c r="O280" i="3"/>
  <c r="O279" i="3"/>
  <c r="O277" i="3"/>
  <c r="O278" i="3"/>
  <c r="O276" i="3"/>
  <c r="O274" i="3"/>
  <c r="O275" i="3"/>
  <c r="O273" i="3"/>
  <c r="O272" i="3"/>
  <c r="O271" i="3"/>
  <c r="O270" i="3"/>
  <c r="O269" i="3"/>
  <c r="O268" i="3"/>
  <c r="O267" i="3"/>
  <c r="O266" i="3"/>
  <c r="O265" i="3"/>
  <c r="O263" i="3"/>
  <c r="O264" i="3"/>
  <c r="O262" i="3"/>
  <c r="O261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2" i="3"/>
  <c r="O243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19" i="3"/>
  <c r="O218" i="3"/>
  <c r="O217" i="3"/>
  <c r="O216" i="3"/>
  <c r="O215" i="3"/>
  <c r="O213" i="3"/>
  <c r="O214" i="3"/>
  <c r="O211" i="3"/>
  <c r="O212" i="3"/>
  <c r="O210" i="3"/>
  <c r="O209" i="3"/>
  <c r="O208" i="3"/>
  <c r="O207" i="3"/>
  <c r="O206" i="3"/>
  <c r="O205" i="3"/>
  <c r="O204" i="3"/>
  <c r="O202" i="3"/>
  <c r="O203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8" i="3"/>
  <c r="O179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2" i="3"/>
  <c r="O163" i="3"/>
  <c r="O161" i="3"/>
  <c r="O160" i="3"/>
  <c r="O159" i="3"/>
  <c r="O158" i="3"/>
  <c r="O156" i="3"/>
  <c r="O157" i="3"/>
  <c r="O155" i="3"/>
  <c r="O153" i="3"/>
  <c r="O154" i="3"/>
  <c r="O152" i="3"/>
  <c r="O151" i="3"/>
  <c r="O150" i="3"/>
  <c r="O149" i="3"/>
  <c r="O148" i="3"/>
  <c r="O147" i="3"/>
  <c r="O146" i="3"/>
  <c r="O145" i="3"/>
  <c r="O142" i="3"/>
  <c r="O141" i="3"/>
  <c r="O140" i="3"/>
  <c r="O138" i="3"/>
  <c r="O139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0" i="3"/>
  <c r="O88" i="3"/>
  <c r="O89" i="3"/>
  <c r="O87" i="3"/>
  <c r="O86" i="3"/>
  <c r="O84" i="3"/>
  <c r="O83" i="3"/>
  <c r="O82" i="3"/>
  <c r="O81" i="3"/>
  <c r="O80" i="3"/>
  <c r="O79" i="3"/>
  <c r="O78" i="3"/>
  <c r="O77" i="3"/>
  <c r="O76" i="3"/>
  <c r="O74" i="3"/>
  <c r="O75" i="3"/>
  <c r="O72" i="3"/>
  <c r="O71" i="3"/>
  <c r="O70" i="3"/>
  <c r="O69" i="3"/>
  <c r="O68" i="3"/>
  <c r="O67" i="3"/>
  <c r="O66" i="3"/>
  <c r="O65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8" i="3"/>
  <c r="O27" i="3"/>
  <c r="O26" i="3"/>
  <c r="O25" i="3"/>
  <c r="O24" i="3"/>
  <c r="O23" i="3"/>
  <c r="O22" i="3"/>
  <c r="O20" i="3"/>
  <c r="O21" i="3"/>
  <c r="O19" i="3"/>
  <c r="O18" i="3"/>
  <c r="O17" i="3"/>
  <c r="O16" i="3"/>
  <c r="O15" i="3"/>
  <c r="O14" i="3"/>
  <c r="O13" i="3"/>
  <c r="O11" i="3"/>
  <c r="O10" i="3"/>
  <c r="O9" i="3"/>
  <c r="O8" i="3"/>
  <c r="O7" i="3"/>
  <c r="O6" i="3"/>
  <c r="O5" i="3"/>
  <c r="O4" i="3"/>
  <c r="O3" i="3"/>
  <c r="T2" i="3"/>
  <c r="P2" i="3" s="1"/>
  <c r="T369" i="3"/>
  <c r="P369" i="3" s="1"/>
  <c r="T368" i="3"/>
  <c r="P368" i="3" s="1"/>
  <c r="T367" i="3"/>
  <c r="P367" i="3" s="1"/>
  <c r="T366" i="3"/>
  <c r="P366" i="3" s="1"/>
  <c r="T365" i="3"/>
  <c r="P365" i="3" s="1"/>
  <c r="T364" i="3"/>
  <c r="P364" i="3" s="1"/>
  <c r="T363" i="3"/>
  <c r="P363" i="3" s="1"/>
  <c r="T362" i="3"/>
  <c r="P362" i="3" s="1"/>
  <c r="T361" i="3"/>
  <c r="P361" i="3" s="1"/>
  <c r="T360" i="3"/>
  <c r="P360" i="3" s="1"/>
  <c r="T359" i="3"/>
  <c r="P359" i="3" s="1"/>
  <c r="T358" i="3"/>
  <c r="P358" i="3" s="1"/>
  <c r="T357" i="3"/>
  <c r="P357" i="3" s="1"/>
  <c r="T356" i="3"/>
  <c r="P356" i="3" s="1"/>
  <c r="T355" i="3"/>
  <c r="P355" i="3" s="1"/>
  <c r="T354" i="3"/>
  <c r="P354" i="3" s="1"/>
  <c r="T352" i="3"/>
  <c r="P352" i="3" s="1"/>
  <c r="T353" i="3"/>
  <c r="P353" i="3" s="1"/>
  <c r="T351" i="3"/>
  <c r="P351" i="3" s="1"/>
  <c r="T350" i="3"/>
  <c r="P350" i="3" s="1"/>
  <c r="T349" i="3"/>
  <c r="P349" i="3" s="1"/>
  <c r="T348" i="3"/>
  <c r="P348" i="3" s="1"/>
  <c r="T347" i="3"/>
  <c r="P347" i="3" s="1"/>
  <c r="T346" i="3"/>
  <c r="P346" i="3" s="1"/>
  <c r="T345" i="3"/>
  <c r="P345" i="3" s="1"/>
  <c r="T344" i="3"/>
  <c r="P344" i="3" s="1"/>
  <c r="T343" i="3"/>
  <c r="P343" i="3" s="1"/>
  <c r="T342" i="3"/>
  <c r="P342" i="3" s="1"/>
  <c r="T341" i="3"/>
  <c r="P341" i="3" s="1"/>
  <c r="T340" i="3"/>
  <c r="P340" i="3" s="1"/>
  <c r="T339" i="3"/>
  <c r="P339" i="3" s="1"/>
  <c r="T338" i="3"/>
  <c r="P338" i="3" s="1"/>
  <c r="T337" i="3"/>
  <c r="P337" i="3" s="1"/>
  <c r="T336" i="3"/>
  <c r="P336" i="3" s="1"/>
  <c r="T335" i="3"/>
  <c r="P335" i="3" s="1"/>
  <c r="T333" i="3"/>
  <c r="P333" i="3" s="1"/>
  <c r="T334" i="3"/>
  <c r="P334" i="3" s="1"/>
  <c r="T332" i="3"/>
  <c r="P332" i="3" s="1"/>
  <c r="T331" i="3"/>
  <c r="P331" i="3" s="1"/>
  <c r="T329" i="3"/>
  <c r="P329" i="3" s="1"/>
  <c r="T330" i="3"/>
  <c r="P330" i="3" s="1"/>
  <c r="T328" i="3"/>
  <c r="P328" i="3" s="1"/>
  <c r="T326" i="3"/>
  <c r="P326" i="3" s="1"/>
  <c r="T327" i="3"/>
  <c r="P327" i="3" s="1"/>
  <c r="T325" i="3"/>
  <c r="P325" i="3" s="1"/>
  <c r="T324" i="3"/>
  <c r="P324" i="3" s="1"/>
  <c r="T323" i="3"/>
  <c r="P323" i="3" s="1"/>
  <c r="T322" i="3"/>
  <c r="P322" i="3" s="1"/>
  <c r="T321" i="3"/>
  <c r="P321" i="3" s="1"/>
  <c r="T319" i="3"/>
  <c r="P319" i="3" s="1"/>
  <c r="T320" i="3"/>
  <c r="P320" i="3" s="1"/>
  <c r="T318" i="3"/>
  <c r="P318" i="3" s="1"/>
  <c r="T317" i="3"/>
  <c r="P317" i="3" s="1"/>
  <c r="T316" i="3"/>
  <c r="P316" i="3" s="1"/>
  <c r="T315" i="3"/>
  <c r="P315" i="3" s="1"/>
  <c r="T314" i="3"/>
  <c r="P314" i="3" s="1"/>
  <c r="T313" i="3"/>
  <c r="P313" i="3" s="1"/>
  <c r="T312" i="3"/>
  <c r="P312" i="3" s="1"/>
  <c r="T311" i="3"/>
  <c r="P311" i="3" s="1"/>
  <c r="T310" i="3"/>
  <c r="P310" i="3" s="1"/>
  <c r="T309" i="3"/>
  <c r="P309" i="3" s="1"/>
  <c r="T308" i="3"/>
  <c r="P308" i="3" s="1"/>
  <c r="T307" i="3"/>
  <c r="P307" i="3" s="1"/>
  <c r="T306" i="3"/>
  <c r="P306" i="3" s="1"/>
  <c r="T305" i="3"/>
  <c r="P305" i="3" s="1"/>
  <c r="T304" i="3"/>
  <c r="P304" i="3" s="1"/>
  <c r="T303" i="3"/>
  <c r="P303" i="3" s="1"/>
  <c r="T302" i="3"/>
  <c r="P302" i="3" s="1"/>
  <c r="T301" i="3"/>
  <c r="P301" i="3" s="1"/>
  <c r="T300" i="3"/>
  <c r="P300" i="3" s="1"/>
  <c r="T299" i="3"/>
  <c r="P299" i="3" s="1"/>
  <c r="T298" i="3"/>
  <c r="P298" i="3" s="1"/>
  <c r="T297" i="3"/>
  <c r="P297" i="3" s="1"/>
  <c r="T296" i="3"/>
  <c r="P296" i="3" s="1"/>
  <c r="T295" i="3"/>
  <c r="P295" i="3" s="1"/>
  <c r="T294" i="3"/>
  <c r="P294" i="3" s="1"/>
  <c r="T293" i="3"/>
  <c r="P293" i="3" s="1"/>
  <c r="T292" i="3"/>
  <c r="P292" i="3" s="1"/>
  <c r="T291" i="3"/>
  <c r="P291" i="3" s="1"/>
  <c r="T290" i="3"/>
  <c r="P290" i="3" s="1"/>
  <c r="T289" i="3"/>
  <c r="P289" i="3" s="1"/>
  <c r="T288" i="3"/>
  <c r="P288" i="3" s="1"/>
  <c r="T286" i="3"/>
  <c r="P286" i="3" s="1"/>
  <c r="T287" i="3"/>
  <c r="P287" i="3" s="1"/>
  <c r="T285" i="3"/>
  <c r="P285" i="3" s="1"/>
  <c r="T284" i="3"/>
  <c r="P284" i="3" s="1"/>
  <c r="T282" i="3"/>
  <c r="P282" i="3" s="1"/>
  <c r="T281" i="3"/>
  <c r="P281" i="3" s="1"/>
  <c r="T280" i="3"/>
  <c r="P280" i="3" s="1"/>
  <c r="T279" i="3"/>
  <c r="P279" i="3" s="1"/>
  <c r="T277" i="3"/>
  <c r="P277" i="3" s="1"/>
  <c r="T278" i="3"/>
  <c r="P278" i="3" s="1"/>
  <c r="T276" i="3"/>
  <c r="P276" i="3" s="1"/>
  <c r="T274" i="3"/>
  <c r="P274" i="3" s="1"/>
  <c r="T275" i="3"/>
  <c r="P275" i="3" s="1"/>
  <c r="T273" i="3"/>
  <c r="P273" i="3" s="1"/>
  <c r="T272" i="3"/>
  <c r="P272" i="3" s="1"/>
  <c r="T271" i="3"/>
  <c r="P271" i="3" s="1"/>
  <c r="T270" i="3"/>
  <c r="P270" i="3" s="1"/>
  <c r="T269" i="3"/>
  <c r="P269" i="3" s="1"/>
  <c r="T268" i="3"/>
  <c r="P268" i="3" s="1"/>
  <c r="T267" i="3"/>
  <c r="P267" i="3" s="1"/>
  <c r="T266" i="3"/>
  <c r="P266" i="3" s="1"/>
  <c r="T265" i="3"/>
  <c r="P265" i="3" s="1"/>
  <c r="T263" i="3"/>
  <c r="P263" i="3" s="1"/>
  <c r="T264" i="3"/>
  <c r="P264" i="3" s="1"/>
  <c r="T262" i="3"/>
  <c r="P262" i="3" s="1"/>
  <c r="T261" i="3"/>
  <c r="P261" i="3" s="1"/>
  <c r="T260" i="3"/>
  <c r="P260" i="3" s="1"/>
  <c r="T259" i="3"/>
  <c r="P259" i="3" s="1"/>
  <c r="T258" i="3"/>
  <c r="P258" i="3" s="1"/>
  <c r="T257" i="3"/>
  <c r="P257" i="3" s="1"/>
  <c r="T256" i="3"/>
  <c r="P256" i="3" s="1"/>
  <c r="T255" i="3"/>
  <c r="P255" i="3" s="1"/>
  <c r="T254" i="3"/>
  <c r="P254" i="3" s="1"/>
  <c r="T253" i="3"/>
  <c r="P253" i="3" s="1"/>
  <c r="T252" i="3"/>
  <c r="P252" i="3" s="1"/>
  <c r="T251" i="3"/>
  <c r="P251" i="3" s="1"/>
  <c r="T250" i="3"/>
  <c r="P250" i="3" s="1"/>
  <c r="T249" i="3"/>
  <c r="P249" i="3" s="1"/>
  <c r="T248" i="3"/>
  <c r="P248" i="3" s="1"/>
  <c r="T247" i="3"/>
  <c r="P247" i="3" s="1"/>
  <c r="T246" i="3"/>
  <c r="P246" i="3" s="1"/>
  <c r="T245" i="3"/>
  <c r="P245" i="3" s="1"/>
  <c r="T244" i="3"/>
  <c r="P244" i="3" s="1"/>
  <c r="T242" i="3"/>
  <c r="P242" i="3" s="1"/>
  <c r="T243" i="3"/>
  <c r="P243" i="3" s="1"/>
  <c r="T241" i="3"/>
  <c r="P241" i="3" s="1"/>
  <c r="T240" i="3"/>
  <c r="P240" i="3" s="1"/>
  <c r="T239" i="3"/>
  <c r="P239" i="3" s="1"/>
  <c r="T238" i="3"/>
  <c r="P238" i="3" s="1"/>
  <c r="T237" i="3"/>
  <c r="P237" i="3" s="1"/>
  <c r="T236" i="3"/>
  <c r="P236" i="3" s="1"/>
  <c r="T235" i="3"/>
  <c r="P235" i="3" s="1"/>
  <c r="T234" i="3"/>
  <c r="P234" i="3" s="1"/>
  <c r="T233" i="3"/>
  <c r="P233" i="3" s="1"/>
  <c r="T232" i="3"/>
  <c r="P232" i="3" s="1"/>
  <c r="T231" i="3"/>
  <c r="P231" i="3" s="1"/>
  <c r="T230" i="3"/>
  <c r="P230" i="3" s="1"/>
  <c r="T229" i="3"/>
  <c r="P229" i="3" s="1"/>
  <c r="T228" i="3"/>
  <c r="P228" i="3" s="1"/>
  <c r="T227" i="3"/>
  <c r="P227" i="3" s="1"/>
  <c r="T226" i="3"/>
  <c r="P226" i="3" s="1"/>
  <c r="T225" i="3"/>
  <c r="P225" i="3" s="1"/>
  <c r="T224" i="3"/>
  <c r="P224" i="3" s="1"/>
  <c r="T223" i="3"/>
  <c r="P223" i="3" s="1"/>
  <c r="T222" i="3"/>
  <c r="P222" i="3" s="1"/>
  <c r="T221" i="3"/>
  <c r="P221" i="3" s="1"/>
  <c r="T220" i="3"/>
  <c r="P220" i="3" s="1"/>
  <c r="T219" i="3"/>
  <c r="P219" i="3" s="1"/>
  <c r="T218" i="3"/>
  <c r="P218" i="3" s="1"/>
  <c r="T217" i="3"/>
  <c r="P217" i="3" s="1"/>
  <c r="T216" i="3"/>
  <c r="P216" i="3" s="1"/>
  <c r="T215" i="3"/>
  <c r="P215" i="3" s="1"/>
  <c r="T213" i="3"/>
  <c r="P213" i="3" s="1"/>
  <c r="T214" i="3"/>
  <c r="P214" i="3" s="1"/>
  <c r="T211" i="3"/>
  <c r="P211" i="3" s="1"/>
  <c r="T212" i="3"/>
  <c r="P212" i="3" s="1"/>
  <c r="T210" i="3"/>
  <c r="P210" i="3" s="1"/>
  <c r="T209" i="3"/>
  <c r="P209" i="3" s="1"/>
  <c r="T208" i="3"/>
  <c r="P208" i="3" s="1"/>
  <c r="T207" i="3"/>
  <c r="P207" i="3" s="1"/>
  <c r="T206" i="3"/>
  <c r="P206" i="3" s="1"/>
  <c r="T205" i="3"/>
  <c r="P205" i="3" s="1"/>
  <c r="T204" i="3"/>
  <c r="P204" i="3" s="1"/>
  <c r="T202" i="3"/>
  <c r="P202" i="3" s="1"/>
  <c r="T203" i="3"/>
  <c r="P203" i="3" s="1"/>
  <c r="T201" i="3"/>
  <c r="P201" i="3" s="1"/>
  <c r="T200" i="3"/>
  <c r="P200" i="3" s="1"/>
  <c r="T199" i="3"/>
  <c r="P199" i="3" s="1"/>
  <c r="T198" i="3"/>
  <c r="P198" i="3" s="1"/>
  <c r="T197" i="3"/>
  <c r="P197" i="3" s="1"/>
  <c r="T196" i="3"/>
  <c r="P196" i="3" s="1"/>
  <c r="T195" i="3"/>
  <c r="P195" i="3" s="1"/>
  <c r="T194" i="3"/>
  <c r="P194" i="3" s="1"/>
  <c r="T193" i="3"/>
  <c r="P193" i="3" s="1"/>
  <c r="T192" i="3"/>
  <c r="P192" i="3" s="1"/>
  <c r="T191" i="3"/>
  <c r="P191" i="3" s="1"/>
  <c r="T190" i="3"/>
  <c r="P190" i="3" s="1"/>
  <c r="T189" i="3"/>
  <c r="P189" i="3" s="1"/>
  <c r="T188" i="3"/>
  <c r="P188" i="3" s="1"/>
  <c r="T187" i="3"/>
  <c r="P187" i="3" s="1"/>
  <c r="T186" i="3"/>
  <c r="P186" i="3" s="1"/>
  <c r="T185" i="3"/>
  <c r="P185" i="3" s="1"/>
  <c r="T184" i="3"/>
  <c r="P184" i="3" s="1"/>
  <c r="T183" i="3"/>
  <c r="P183" i="3" s="1"/>
  <c r="T182" i="3"/>
  <c r="P182" i="3" s="1"/>
  <c r="T181" i="3"/>
  <c r="P181" i="3" s="1"/>
  <c r="T180" i="3"/>
  <c r="P180" i="3" s="1"/>
  <c r="T178" i="3"/>
  <c r="P178" i="3" s="1"/>
  <c r="T179" i="3"/>
  <c r="P179" i="3" s="1"/>
  <c r="T177" i="3"/>
  <c r="P177" i="3" s="1"/>
  <c r="T176" i="3"/>
  <c r="P176" i="3" s="1"/>
  <c r="T175" i="3"/>
  <c r="P175" i="3" s="1"/>
  <c r="T174" i="3"/>
  <c r="P174" i="3" s="1"/>
  <c r="T173" i="3"/>
  <c r="P173" i="3" s="1"/>
  <c r="T172" i="3"/>
  <c r="P172" i="3" s="1"/>
  <c r="T171" i="3"/>
  <c r="P171" i="3" s="1"/>
  <c r="T170" i="3"/>
  <c r="P170" i="3" s="1"/>
  <c r="T169" i="3"/>
  <c r="P169" i="3" s="1"/>
  <c r="T168" i="3"/>
  <c r="P168" i="3" s="1"/>
  <c r="T167" i="3"/>
  <c r="P167" i="3" s="1"/>
  <c r="T164" i="3"/>
  <c r="P164" i="3" s="1"/>
  <c r="T166" i="3"/>
  <c r="P166" i="3" s="1"/>
  <c r="T165" i="3"/>
  <c r="P165" i="3" s="1"/>
  <c r="T162" i="3"/>
  <c r="P162" i="3" s="1"/>
  <c r="T163" i="3"/>
  <c r="P163" i="3" s="1"/>
  <c r="T161" i="3"/>
  <c r="P161" i="3" s="1"/>
  <c r="T160" i="3"/>
  <c r="P160" i="3" s="1"/>
  <c r="T159" i="3"/>
  <c r="P159" i="3" s="1"/>
  <c r="T158" i="3"/>
  <c r="P158" i="3" s="1"/>
  <c r="T156" i="3"/>
  <c r="P156" i="3" s="1"/>
  <c r="T157" i="3"/>
  <c r="P157" i="3" s="1"/>
  <c r="T155" i="3"/>
  <c r="P155" i="3" s="1"/>
  <c r="T153" i="3"/>
  <c r="P153" i="3" s="1"/>
  <c r="T154" i="3"/>
  <c r="P154" i="3" s="1"/>
  <c r="T152" i="3"/>
  <c r="P152" i="3" s="1"/>
  <c r="T151" i="3"/>
  <c r="P151" i="3" s="1"/>
  <c r="T150" i="3"/>
  <c r="P150" i="3" s="1"/>
  <c r="T149" i="3"/>
  <c r="P149" i="3" s="1"/>
  <c r="T148" i="3"/>
  <c r="P148" i="3" s="1"/>
  <c r="T147" i="3"/>
  <c r="P147" i="3" s="1"/>
  <c r="T146" i="3"/>
  <c r="P146" i="3" s="1"/>
  <c r="T145" i="3"/>
  <c r="P145" i="3" s="1"/>
  <c r="T144" i="3"/>
  <c r="P144" i="3" s="1"/>
  <c r="T143" i="3"/>
  <c r="P143" i="3" s="1"/>
  <c r="T142" i="3"/>
  <c r="P142" i="3" s="1"/>
  <c r="T141" i="3"/>
  <c r="P141" i="3" s="1"/>
  <c r="T140" i="3"/>
  <c r="P140" i="3" s="1"/>
  <c r="T138" i="3"/>
  <c r="P138" i="3" s="1"/>
  <c r="T139" i="3"/>
  <c r="P139" i="3" s="1"/>
  <c r="T137" i="3"/>
  <c r="P137" i="3" s="1"/>
  <c r="T136" i="3"/>
  <c r="P136" i="3" s="1"/>
  <c r="T135" i="3"/>
  <c r="P135" i="3" s="1"/>
  <c r="T134" i="3"/>
  <c r="P134" i="3" s="1"/>
  <c r="T133" i="3"/>
  <c r="P133" i="3" s="1"/>
  <c r="T132" i="3"/>
  <c r="P132" i="3" s="1"/>
  <c r="T131" i="3"/>
  <c r="P131" i="3" s="1"/>
  <c r="T130" i="3"/>
  <c r="P130" i="3" s="1"/>
  <c r="T129" i="3"/>
  <c r="P129" i="3" s="1"/>
  <c r="T128" i="3"/>
  <c r="P128" i="3" s="1"/>
  <c r="T127" i="3"/>
  <c r="P127" i="3" s="1"/>
  <c r="T126" i="3"/>
  <c r="P126" i="3" s="1"/>
  <c r="T125" i="3"/>
  <c r="P125" i="3" s="1"/>
  <c r="T124" i="3"/>
  <c r="P124" i="3" s="1"/>
  <c r="T123" i="3"/>
  <c r="P123" i="3" s="1"/>
  <c r="T122" i="3"/>
  <c r="P122" i="3" s="1"/>
  <c r="T121" i="3"/>
  <c r="P121" i="3" s="1"/>
  <c r="T120" i="3"/>
  <c r="P120" i="3" s="1"/>
  <c r="T119" i="3"/>
  <c r="P119" i="3" s="1"/>
  <c r="T118" i="3"/>
  <c r="P118" i="3" s="1"/>
  <c r="T117" i="3"/>
  <c r="P117" i="3" s="1"/>
  <c r="T116" i="3"/>
  <c r="P116" i="3" s="1"/>
  <c r="T115" i="3"/>
  <c r="P115" i="3" s="1"/>
  <c r="T114" i="3"/>
  <c r="P114" i="3" s="1"/>
  <c r="T113" i="3"/>
  <c r="P113" i="3" s="1"/>
  <c r="T112" i="3"/>
  <c r="P112" i="3" s="1"/>
  <c r="T111" i="3"/>
  <c r="P111" i="3" s="1"/>
  <c r="T110" i="3"/>
  <c r="P110" i="3" s="1"/>
  <c r="T109" i="3"/>
  <c r="P109" i="3" s="1"/>
  <c r="T108" i="3"/>
  <c r="P108" i="3" s="1"/>
  <c r="T107" i="3"/>
  <c r="P107" i="3" s="1"/>
  <c r="T106" i="3"/>
  <c r="P106" i="3" s="1"/>
  <c r="T105" i="3"/>
  <c r="P105" i="3" s="1"/>
  <c r="T104" i="3"/>
  <c r="P104" i="3" s="1"/>
  <c r="T103" i="3"/>
  <c r="P103" i="3" s="1"/>
  <c r="T102" i="3"/>
  <c r="P102" i="3" s="1"/>
  <c r="T101" i="3"/>
  <c r="P101" i="3" s="1"/>
  <c r="T100" i="3"/>
  <c r="P100" i="3" s="1"/>
  <c r="T99" i="3"/>
  <c r="P99" i="3" s="1"/>
  <c r="T98" i="3"/>
  <c r="P98" i="3" s="1"/>
  <c r="T97" i="3"/>
  <c r="P97" i="3" s="1"/>
  <c r="T96" i="3"/>
  <c r="P96" i="3" s="1"/>
  <c r="T95" i="3"/>
  <c r="P95" i="3" s="1"/>
  <c r="T94" i="3"/>
  <c r="P94" i="3" s="1"/>
  <c r="T93" i="3"/>
  <c r="P93" i="3" s="1"/>
  <c r="T92" i="3"/>
  <c r="P92" i="3" s="1"/>
  <c r="T91" i="3"/>
  <c r="P91" i="3" s="1"/>
  <c r="T90" i="3"/>
  <c r="P90" i="3" s="1"/>
  <c r="T88" i="3"/>
  <c r="P88" i="3" s="1"/>
  <c r="T89" i="3"/>
  <c r="P89" i="3" s="1"/>
  <c r="T87" i="3"/>
  <c r="P87" i="3" s="1"/>
  <c r="T86" i="3"/>
  <c r="P86" i="3" s="1"/>
  <c r="T85" i="3"/>
  <c r="P85" i="3" s="1"/>
  <c r="T84" i="3"/>
  <c r="P84" i="3" s="1"/>
  <c r="T83" i="3"/>
  <c r="P83" i="3" s="1"/>
  <c r="T82" i="3"/>
  <c r="P82" i="3" s="1"/>
  <c r="T81" i="3"/>
  <c r="P81" i="3" s="1"/>
  <c r="T80" i="3"/>
  <c r="P80" i="3" s="1"/>
  <c r="T79" i="3"/>
  <c r="P79" i="3" s="1"/>
  <c r="T78" i="3"/>
  <c r="P78" i="3" s="1"/>
  <c r="T77" i="3"/>
  <c r="P77" i="3" s="1"/>
  <c r="T75" i="3"/>
  <c r="P75" i="3" s="1"/>
  <c r="T73" i="3"/>
  <c r="P73" i="3" s="1"/>
  <c r="T72" i="3"/>
  <c r="P72" i="3" s="1"/>
  <c r="T71" i="3"/>
  <c r="P71" i="3" s="1"/>
  <c r="T70" i="3"/>
  <c r="P70" i="3" s="1"/>
  <c r="T69" i="3"/>
  <c r="P69" i="3" s="1"/>
  <c r="T68" i="3"/>
  <c r="P68" i="3" s="1"/>
  <c r="T67" i="3"/>
  <c r="P67" i="3" s="1"/>
  <c r="T66" i="3"/>
  <c r="P66" i="3" s="1"/>
  <c r="T65" i="3"/>
  <c r="P65" i="3" s="1"/>
  <c r="T64" i="3"/>
  <c r="P64" i="3" s="1"/>
  <c r="T63" i="3"/>
  <c r="P63" i="3" s="1"/>
  <c r="T62" i="3"/>
  <c r="P62" i="3" s="1"/>
  <c r="T61" i="3"/>
  <c r="P61" i="3" s="1"/>
  <c r="T60" i="3"/>
  <c r="P60" i="3" s="1"/>
  <c r="T59" i="3"/>
  <c r="P59" i="3" s="1"/>
  <c r="T58" i="3"/>
  <c r="P58" i="3" s="1"/>
  <c r="T57" i="3"/>
  <c r="P57" i="3" s="1"/>
  <c r="T56" i="3"/>
  <c r="P56" i="3" s="1"/>
  <c r="T55" i="3"/>
  <c r="P55" i="3" s="1"/>
  <c r="T54" i="3"/>
  <c r="P54" i="3" s="1"/>
  <c r="T53" i="3"/>
  <c r="P53" i="3" s="1"/>
  <c r="T52" i="3"/>
  <c r="P52" i="3" s="1"/>
  <c r="T51" i="3"/>
  <c r="P51" i="3" s="1"/>
  <c r="T50" i="3"/>
  <c r="P50" i="3" s="1"/>
  <c r="T49" i="3"/>
  <c r="P49" i="3" s="1"/>
  <c r="T48" i="3"/>
  <c r="P48" i="3" s="1"/>
  <c r="T47" i="3"/>
  <c r="P47" i="3" s="1"/>
  <c r="T46" i="3"/>
  <c r="P46" i="3" s="1"/>
  <c r="T45" i="3"/>
  <c r="P45" i="3" s="1"/>
  <c r="T44" i="3"/>
  <c r="P44" i="3" s="1"/>
  <c r="T43" i="3"/>
  <c r="P43" i="3" s="1"/>
  <c r="T42" i="3"/>
  <c r="P42" i="3" s="1"/>
  <c r="T41" i="3"/>
  <c r="P41" i="3" s="1"/>
  <c r="T39" i="3"/>
  <c r="P39" i="3" s="1"/>
  <c r="T38" i="3"/>
  <c r="P38" i="3" s="1"/>
  <c r="T37" i="3"/>
  <c r="P37" i="3" s="1"/>
  <c r="T36" i="3"/>
  <c r="P36" i="3" s="1"/>
  <c r="T35" i="3"/>
  <c r="P35" i="3" s="1"/>
  <c r="T34" i="3"/>
  <c r="P34" i="3" s="1"/>
  <c r="T33" i="3"/>
  <c r="P33" i="3" s="1"/>
  <c r="T32" i="3"/>
  <c r="P32" i="3" s="1"/>
  <c r="T31" i="3"/>
  <c r="P31" i="3" s="1"/>
  <c r="T30" i="3"/>
  <c r="P30" i="3" s="1"/>
  <c r="T29" i="3"/>
  <c r="P29" i="3" s="1"/>
  <c r="T28" i="3"/>
  <c r="P28" i="3" s="1"/>
  <c r="T27" i="3"/>
  <c r="P27" i="3" s="1"/>
  <c r="T26" i="3"/>
  <c r="P26" i="3" s="1"/>
  <c r="T25" i="3"/>
  <c r="P25" i="3" s="1"/>
  <c r="T24" i="3"/>
  <c r="P24" i="3" s="1"/>
  <c r="T23" i="3"/>
  <c r="P23" i="3" s="1"/>
  <c r="T22" i="3"/>
  <c r="P22" i="3" s="1"/>
  <c r="T20" i="3"/>
  <c r="P20" i="3" s="1"/>
  <c r="T21" i="3"/>
  <c r="P21" i="3" s="1"/>
  <c r="T19" i="3"/>
  <c r="P19" i="3" s="1"/>
  <c r="T18" i="3"/>
  <c r="P18" i="3" s="1"/>
  <c r="T17" i="3"/>
  <c r="P17" i="3" s="1"/>
  <c r="T16" i="3"/>
  <c r="P16" i="3" s="1"/>
  <c r="T15" i="3"/>
  <c r="P15" i="3" s="1"/>
  <c r="T14" i="3"/>
  <c r="P14" i="3" s="1"/>
  <c r="T13" i="3"/>
  <c r="P13" i="3" s="1"/>
  <c r="T12" i="3"/>
  <c r="P12" i="3" s="1"/>
  <c r="T11" i="3"/>
  <c r="P11" i="3" s="1"/>
  <c r="T10" i="3"/>
  <c r="P10" i="3" s="1"/>
  <c r="T9" i="3"/>
  <c r="P9" i="3" s="1"/>
  <c r="T8" i="3"/>
  <c r="P8" i="3" s="1"/>
  <c r="T7" i="3"/>
  <c r="P7" i="3" s="1"/>
  <c r="T6" i="3"/>
  <c r="P6" i="3" s="1"/>
  <c r="T5" i="3"/>
  <c r="P5" i="3" s="1"/>
  <c r="T4" i="3"/>
  <c r="P4" i="3" s="1"/>
  <c r="T3" i="3"/>
  <c r="P3" i="3" s="1"/>
  <c r="T283" i="3"/>
  <c r="P283" i="3" s="1"/>
  <c r="T76" i="3"/>
  <c r="P76" i="3" s="1"/>
  <c r="T74" i="3"/>
  <c r="P74" i="3" s="1"/>
  <c r="T40" i="3"/>
  <c r="P40" i="3" s="1"/>
</calcChain>
</file>

<file path=xl/sharedStrings.xml><?xml version="1.0" encoding="utf-8"?>
<sst xmlns="http://schemas.openxmlformats.org/spreadsheetml/2006/main" count="3857" uniqueCount="1224">
  <si>
    <t>status</t>
  </si>
  <si>
    <t>nome</t>
  </si>
  <si>
    <t>cpf</t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</si>
  <si>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</si>
  <si>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</si>
  <si>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</si>
  <si>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</si>
  <si>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</si>
  <si>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</si>
  <si>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</si>
  <si>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qtde_batalhas</t>
  </si>
  <si>
    <t>nivel_risco</t>
  </si>
  <si>
    <t>flag_inadimplente2</t>
  </si>
  <si>
    <t>valor_solicitado</t>
  </si>
  <si>
    <t>Ativo</t>
  </si>
  <si>
    <t>Aegon Baelish</t>
  </si>
  <si>
    <t>Meereen | Essos</t>
  </si>
  <si>
    <t>Não</t>
  </si>
  <si>
    <t>Aegon Blackwood</t>
  </si>
  <si>
    <t>000.000.118-00</t>
  </si>
  <si>
    <t>Jardim de Cima</t>
  </si>
  <si>
    <t>Campina</t>
  </si>
  <si>
    <t>N/A</t>
  </si>
  <si>
    <t>Aegon Bracken</t>
  </si>
  <si>
    <t>000.000.244-00</t>
  </si>
  <si>
    <t>Correrrio</t>
  </si>
  <si>
    <t>terras fluviais</t>
  </si>
  <si>
    <t>NÃO</t>
  </si>
  <si>
    <t>Inativo</t>
  </si>
  <si>
    <t>Aegon Florent</t>
  </si>
  <si>
    <t>Meereen</t>
  </si>
  <si>
    <t>Essos</t>
  </si>
  <si>
    <t>Aegon Frey</t>
  </si>
  <si>
    <t>000.000.338-00</t>
  </si>
  <si>
    <t>Dorne</t>
  </si>
  <si>
    <t>11100 moedas</t>
  </si>
  <si>
    <t>Aegon Hornwood</t>
  </si>
  <si>
    <t>Solar do Entardecer</t>
  </si>
  <si>
    <t>Terras da Tempestade</t>
  </si>
  <si>
    <t>Aegon Marbrand</t>
  </si>
  <si>
    <t>Castelo Negro</t>
  </si>
  <si>
    <t>Norte</t>
  </si>
  <si>
    <t>Aegon Redwyne</t>
  </si>
  <si>
    <t>000.000.347-00</t>
  </si>
  <si>
    <t>Pyke</t>
  </si>
  <si>
    <t>ILHAS DE FERRO</t>
  </si>
  <si>
    <t>Aegon Umber</t>
  </si>
  <si>
    <t>000.000.356-00</t>
  </si>
  <si>
    <t>ESSOS</t>
  </si>
  <si>
    <t>Arya Marbrand</t>
  </si>
  <si>
    <t>000.000.133-00</t>
  </si>
  <si>
    <t>Ninho da Águia</t>
  </si>
  <si>
    <t>Vale</t>
  </si>
  <si>
    <t>Arya Redwyne</t>
  </si>
  <si>
    <t>000.000.333-00</t>
  </si>
  <si>
    <t>Terras Fluviais</t>
  </si>
  <si>
    <t>3800 moedas</t>
  </si>
  <si>
    <t>inativo</t>
  </si>
  <si>
    <t>Asha Arryn</t>
  </si>
  <si>
    <t>000.000.122-00</t>
  </si>
  <si>
    <t>Asha Baratheon</t>
  </si>
  <si>
    <t>000.000.195-00</t>
  </si>
  <si>
    <t>Braavos</t>
  </si>
  <si>
    <t>Asha Blackwood</t>
  </si>
  <si>
    <t>000.000.085-00</t>
  </si>
  <si>
    <t>Sim</t>
  </si>
  <si>
    <t>Asha Bolton</t>
  </si>
  <si>
    <t>Asha Hornwood</t>
  </si>
  <si>
    <t>000.000.363-00</t>
  </si>
  <si>
    <t>Pedra do Dragão</t>
  </si>
  <si>
    <t>Terras da Coroa</t>
  </si>
  <si>
    <t>21500 moedas</t>
  </si>
  <si>
    <t>não</t>
  </si>
  <si>
    <t>Asha Manderly</t>
  </si>
  <si>
    <t>000.000.357-00</t>
  </si>
  <si>
    <t>Ilha dos Ursos</t>
  </si>
  <si>
    <t>ATIVO</t>
  </si>
  <si>
    <t>Asha Redwyne</t>
  </si>
  <si>
    <t>Asha Tallhart</t>
  </si>
  <si>
    <t>Ilhas de Ferro</t>
  </si>
  <si>
    <t>17600 moedas</t>
  </si>
  <si>
    <t>000.000.006-00</t>
  </si>
  <si>
    <t>Correrrio | Terras Fluviais</t>
  </si>
  <si>
    <t>Beric  Karstark</t>
  </si>
  <si>
    <t>000.000.172-00</t>
  </si>
  <si>
    <t>Beric  Umber</t>
  </si>
  <si>
    <t>terras da coroa</t>
  </si>
  <si>
    <t>BERIC CRAKEHALL</t>
  </si>
  <si>
    <t>000.000.067-00</t>
  </si>
  <si>
    <t>Ilhas De Ferro</t>
  </si>
  <si>
    <t>Beric Manderly</t>
  </si>
  <si>
    <t>Lannisporto</t>
  </si>
  <si>
    <t>Oeste</t>
  </si>
  <si>
    <t>Beric Seaworth</t>
  </si>
  <si>
    <t>000.000.025-00</t>
  </si>
  <si>
    <t>Beric Tallhart</t>
  </si>
  <si>
    <t>000.000.291-00</t>
  </si>
  <si>
    <t>Beric Tyrell</t>
  </si>
  <si>
    <t>000.000.103-00</t>
  </si>
  <si>
    <t>Fosso Cailin</t>
  </si>
  <si>
    <t>000.000.242-00</t>
  </si>
  <si>
    <t>Vilavelha</t>
  </si>
  <si>
    <t>BRAN BOLTON</t>
  </si>
  <si>
    <t>000.000.003-00</t>
  </si>
  <si>
    <t>Porto Real</t>
  </si>
  <si>
    <t>Terras Da Coroa</t>
  </si>
  <si>
    <t>Bran Dayne</t>
  </si>
  <si>
    <t>000.000.288-00</t>
  </si>
  <si>
    <t>4500 moedas</t>
  </si>
  <si>
    <t>Bran Dondarrion</t>
  </si>
  <si>
    <t>essos</t>
  </si>
  <si>
    <t>bran florent</t>
  </si>
  <si>
    <t>000.000.218-00</t>
  </si>
  <si>
    <t>sem renda</t>
  </si>
  <si>
    <t>38 batalhas</t>
  </si>
  <si>
    <t>Bran Frey</t>
  </si>
  <si>
    <t>000.000.189-00</t>
  </si>
  <si>
    <t>Ilha dos Ursos | Norte</t>
  </si>
  <si>
    <t>Bran Karstark</t>
  </si>
  <si>
    <t>000.000.241-00</t>
  </si>
  <si>
    <t>Bran Tarly</t>
  </si>
  <si>
    <t>000.000.269-00</t>
  </si>
  <si>
    <t>Bran Umber</t>
  </si>
  <si>
    <t>Bran Yronwood</t>
  </si>
  <si>
    <t>000.000.057-00</t>
  </si>
  <si>
    <t>Nao</t>
  </si>
  <si>
    <t>Brienne Dayne</t>
  </si>
  <si>
    <t>000.000.070-00</t>
  </si>
  <si>
    <t>Brienne Dondarrion</t>
  </si>
  <si>
    <t>000.000.256-00</t>
  </si>
  <si>
    <t>Brienne Glover</t>
  </si>
  <si>
    <t>000.000.355-00</t>
  </si>
  <si>
    <t>Terras Da Tempestade</t>
  </si>
  <si>
    <t>BRIENNE KARSTARK</t>
  </si>
  <si>
    <t>000.000.031-00</t>
  </si>
  <si>
    <t>Pyke | Ilhas de Ferro</t>
  </si>
  <si>
    <t>Brienne Mallister</t>
  </si>
  <si>
    <t>000.000.202-00</t>
  </si>
  <si>
    <t>Brienne Manderly</t>
  </si>
  <si>
    <t>000.000.076-00</t>
  </si>
  <si>
    <t>8600 moedas</t>
  </si>
  <si>
    <t>000.000.140-00</t>
  </si>
  <si>
    <t>Fosso Cailin | Norte</t>
  </si>
  <si>
    <t>Brienne Reed</t>
  </si>
  <si>
    <t>000.000.306-00</t>
  </si>
  <si>
    <t>Brienne Royce</t>
  </si>
  <si>
    <t>campina</t>
  </si>
  <si>
    <t>23500 moedas</t>
  </si>
  <si>
    <t>Brienne Westerling</t>
  </si>
  <si>
    <t>000.000.379-00</t>
  </si>
  <si>
    <t>Atalaia da Água Cinzenta</t>
  </si>
  <si>
    <t>BRONN ARRYN</t>
  </si>
  <si>
    <t>000.000.016-00</t>
  </si>
  <si>
    <t>oeste</t>
  </si>
  <si>
    <t>Bronn Baratheon</t>
  </si>
  <si>
    <t>Bronn Blackwood</t>
  </si>
  <si>
    <t>000.000.052-00</t>
  </si>
  <si>
    <t>gargalo</t>
  </si>
  <si>
    <t>Bronn Bolton</t>
  </si>
  <si>
    <t>000.000.143-00</t>
  </si>
  <si>
    <t>Harrenhal</t>
  </si>
  <si>
    <t>26800 moedas</t>
  </si>
  <si>
    <t>Bronn Crakehall</t>
  </si>
  <si>
    <t>GARGALO</t>
  </si>
  <si>
    <t>3600 moedas</t>
  </si>
  <si>
    <t>Bronn Dondarrion</t>
  </si>
  <si>
    <t>000.000.036-00</t>
  </si>
  <si>
    <t>Bronn Mallister</t>
  </si>
  <si>
    <t>000.000.200-00</t>
  </si>
  <si>
    <t>76500 moedas</t>
  </si>
  <si>
    <t>Bronn Manderly</t>
  </si>
  <si>
    <t>000.000.074-00</t>
  </si>
  <si>
    <t>NORTE</t>
  </si>
  <si>
    <t>Bronn Royce</t>
  </si>
  <si>
    <t>Bronn Stark</t>
  </si>
  <si>
    <t>000.000.313-00</t>
  </si>
  <si>
    <t>Bronn Umber</t>
  </si>
  <si>
    <t>000.000.177-00</t>
  </si>
  <si>
    <t>Catelyn  Dayne</t>
  </si>
  <si>
    <t>000.000.213-00</t>
  </si>
  <si>
    <t>Ponta Tempestade</t>
  </si>
  <si>
    <t>Catelyn Cerwyn</t>
  </si>
  <si>
    <t>000.000.308-00</t>
  </si>
  <si>
    <t>Catelyn Lannister</t>
  </si>
  <si>
    <t>000.000.110-00</t>
  </si>
  <si>
    <t>terras da tempestade</t>
  </si>
  <si>
    <t>Catelyn Mallister</t>
  </si>
  <si>
    <t>000.000.062-00</t>
  </si>
  <si>
    <t>Castelo Negro | Norte</t>
  </si>
  <si>
    <t>Catelyn Tarly</t>
  </si>
  <si>
    <t>27 anos</t>
  </si>
  <si>
    <t>Catelyn Umber</t>
  </si>
  <si>
    <t>TERRAS FLUVIAIS</t>
  </si>
  <si>
    <t>catelyn westerling</t>
  </si>
  <si>
    <t>19500 moedas</t>
  </si>
  <si>
    <t>Ativoo</t>
  </si>
  <si>
    <t>Catelyn Yronwood</t>
  </si>
  <si>
    <t>000.000.226-00</t>
  </si>
  <si>
    <t>norte</t>
  </si>
  <si>
    <t>Cersei  Marbrand</t>
  </si>
  <si>
    <t>000.000.158-00</t>
  </si>
  <si>
    <t>Cersei Clegane</t>
  </si>
  <si>
    <t>000.000.323-00</t>
  </si>
  <si>
    <t>CERSEI GLOVER</t>
  </si>
  <si>
    <t>000.000.324-00</t>
  </si>
  <si>
    <t>4 batalhas</t>
  </si>
  <si>
    <t>Cersei Greyjoy</t>
  </si>
  <si>
    <t>000.000.265-00</t>
  </si>
  <si>
    <t>21300 moedas</t>
  </si>
  <si>
    <t>Cersei Stark</t>
  </si>
  <si>
    <t>000.000.293-00</t>
  </si>
  <si>
    <t>Cersei Tarth</t>
  </si>
  <si>
    <t>000.000.147-00</t>
  </si>
  <si>
    <t>74000 moedas</t>
  </si>
  <si>
    <t>Cersei Umber</t>
  </si>
  <si>
    <t>000.000.058-00</t>
  </si>
  <si>
    <t>Daario  Dayne</t>
  </si>
  <si>
    <t>000.000.144-00</t>
  </si>
  <si>
    <t>Daario Arryn</t>
  </si>
  <si>
    <t>000.000.173-00</t>
  </si>
  <si>
    <t>vale</t>
  </si>
  <si>
    <t>INATIVO</t>
  </si>
  <si>
    <t>Daario Cerwyn</t>
  </si>
  <si>
    <t>Daario Clegane</t>
  </si>
  <si>
    <t>000.000.270-00</t>
  </si>
  <si>
    <t>Daario Marbrand</t>
  </si>
  <si>
    <t>000.000.014-00</t>
  </si>
  <si>
    <t>46 anos</t>
  </si>
  <si>
    <t>DAARIO TARLY</t>
  </si>
  <si>
    <t>000.000.046-00</t>
  </si>
  <si>
    <t>ativo</t>
  </si>
  <si>
    <t>Daario Tyrell</t>
  </si>
  <si>
    <t>000.000.251-00</t>
  </si>
  <si>
    <t>Daenerys Seaworth</t>
  </si>
  <si>
    <t>000.000.341-00</t>
  </si>
  <si>
    <t>CAMPINA</t>
  </si>
  <si>
    <t>Daenerys Snow</t>
  </si>
  <si>
    <t>Dorne | Dorne</t>
  </si>
  <si>
    <t>Daenerys Tallhart</t>
  </si>
  <si>
    <t>000.000.092-00</t>
  </si>
  <si>
    <t>Davos  Baratheon</t>
  </si>
  <si>
    <t>000.000.055-00</t>
  </si>
  <si>
    <t>Winterfell</t>
  </si>
  <si>
    <t>Davos Tyrell</t>
  </si>
  <si>
    <t>000.000.079-00</t>
  </si>
  <si>
    <t>27 batalhas</t>
  </si>
  <si>
    <t>28 batalhas</t>
  </si>
  <si>
    <t>Davos Umber</t>
  </si>
  <si>
    <t>000.000.353-00</t>
  </si>
  <si>
    <t>6 batalhas</t>
  </si>
  <si>
    <t>Eddard Crakehall</t>
  </si>
  <si>
    <t>5500 moedas</t>
  </si>
  <si>
    <t>Eddard Dayne</t>
  </si>
  <si>
    <t>Eddard Greyjoy</t>
  </si>
  <si>
    <t>000.000.238-00</t>
  </si>
  <si>
    <t>Eddard Mallister</t>
  </si>
  <si>
    <t>000.000.309-00</t>
  </si>
  <si>
    <t>Eddard Payne</t>
  </si>
  <si>
    <t>9200 moedas</t>
  </si>
  <si>
    <t>Eddard Royce</t>
  </si>
  <si>
    <t>000.000.181-00</t>
  </si>
  <si>
    <t>16000 moedas</t>
  </si>
  <si>
    <t>Eddard Stark</t>
  </si>
  <si>
    <t>000.000.015-00</t>
  </si>
  <si>
    <t>VALE</t>
  </si>
  <si>
    <t>29700 moedas</t>
  </si>
  <si>
    <t>78000 moedas</t>
  </si>
  <si>
    <t>EDDARD WESTERLING</t>
  </si>
  <si>
    <t>000.000.094-00</t>
  </si>
  <si>
    <t>Ellaria  Reed</t>
  </si>
  <si>
    <t>000.000.311-00</t>
  </si>
  <si>
    <t>Ellaria Baelish</t>
  </si>
  <si>
    <t>000.000.336-00</t>
  </si>
  <si>
    <t>Ellaria Bracken</t>
  </si>
  <si>
    <t>000.000.138-00</t>
  </si>
  <si>
    <t>Monte Chifre</t>
  </si>
  <si>
    <t>Ellaria Cerwyn</t>
  </si>
  <si>
    <t>000.000.019-00</t>
  </si>
  <si>
    <t>51 anos</t>
  </si>
  <si>
    <t>7 batalhas</t>
  </si>
  <si>
    <t>Ellaria Mallister</t>
  </si>
  <si>
    <t>000.000.194-00</t>
  </si>
  <si>
    <t>ilhas de ferro</t>
  </si>
  <si>
    <t>Ellaria Martell</t>
  </si>
  <si>
    <t>000.000.148-00</t>
  </si>
  <si>
    <t>Gargalo</t>
  </si>
  <si>
    <t>Ellaria Mormont</t>
  </si>
  <si>
    <t>000.000.157-00</t>
  </si>
  <si>
    <t>29 batalhas</t>
  </si>
  <si>
    <t>Ellaria Redwyne</t>
  </si>
  <si>
    <t>000.000.093-00</t>
  </si>
  <si>
    <t>Ellaria Seaworth</t>
  </si>
  <si>
    <t>000.000.125-00</t>
  </si>
  <si>
    <t>Ellaria Swyft</t>
  </si>
  <si>
    <t>000.000.115-00</t>
  </si>
  <si>
    <t>Ellaria Targaryen</t>
  </si>
  <si>
    <t>000.000.149-00</t>
  </si>
  <si>
    <t>ELLARIA TARLY</t>
  </si>
  <si>
    <t>000.000.026-00</t>
  </si>
  <si>
    <t>Gendry Cerwyn</t>
  </si>
  <si>
    <t>000.000.153-00</t>
  </si>
  <si>
    <t>Lannisporto | Oeste</t>
  </si>
  <si>
    <t>Gendry Hightower</t>
  </si>
  <si>
    <t>000.000.167-00</t>
  </si>
  <si>
    <t>Harrenhal | Terras Fluviais</t>
  </si>
  <si>
    <t>Gilly Frey</t>
  </si>
  <si>
    <t>000.000.258-00</t>
  </si>
  <si>
    <t>Gilly Glover</t>
  </si>
  <si>
    <t>Gilly Marbrand</t>
  </si>
  <si>
    <t>Gilly Mormont</t>
  </si>
  <si>
    <t>000.000.220-00</t>
  </si>
  <si>
    <t>Gilly Swyft</t>
  </si>
  <si>
    <t>000.000.261-00</t>
  </si>
  <si>
    <t>Grey  Worm  Greyjoy</t>
  </si>
  <si>
    <t>000.000.182-00</t>
  </si>
  <si>
    <t>Grey Worm Baratheon</t>
  </si>
  <si>
    <t>000.000.221-00</t>
  </si>
  <si>
    <t>Grey Worm Dondarrion</t>
  </si>
  <si>
    <t>Grey Worm Hornwood</t>
  </si>
  <si>
    <t>000.000.322-00</t>
  </si>
  <si>
    <t>TERRAS DA COROA</t>
  </si>
  <si>
    <t>52000 moedas</t>
  </si>
  <si>
    <t>Grey Worm Targaryen</t>
  </si>
  <si>
    <t>000.000.060-00</t>
  </si>
  <si>
    <t>Jaime Bracken</t>
  </si>
  <si>
    <t>Jaime Dondarrion</t>
  </si>
  <si>
    <t>000.000.056-00</t>
  </si>
  <si>
    <t>20900 moedas</t>
  </si>
  <si>
    <t>Jaime Seaworth</t>
  </si>
  <si>
    <t>000.000.263-00</t>
  </si>
  <si>
    <t>sim</t>
  </si>
  <si>
    <t>Jaime Yronwood</t>
  </si>
  <si>
    <t>Jeor  Payne</t>
  </si>
  <si>
    <t>Jeor Baelish</t>
  </si>
  <si>
    <t>000.000.332-00</t>
  </si>
  <si>
    <t>dorne</t>
  </si>
  <si>
    <t>14300 moedas</t>
  </si>
  <si>
    <t>Jeor Clegane</t>
  </si>
  <si>
    <t>42000 moedas</t>
  </si>
  <si>
    <t>Jeor Florent</t>
  </si>
  <si>
    <t>000.000.249-00</t>
  </si>
  <si>
    <t>Jeor Karstark</t>
  </si>
  <si>
    <t>000.000.310-00</t>
  </si>
  <si>
    <t>Jeor Lannister</t>
  </si>
  <si>
    <t>000.000.091-00</t>
  </si>
  <si>
    <t>10 batalhas</t>
  </si>
  <si>
    <t>Jeor Mallister</t>
  </si>
  <si>
    <t>000.000.162-00</t>
  </si>
  <si>
    <t>Jeor Marbrand</t>
  </si>
  <si>
    <t>000.000.073-00</t>
  </si>
  <si>
    <t>Jeor Martell</t>
  </si>
  <si>
    <t>000.000.061-00</t>
  </si>
  <si>
    <t>20100 moedas</t>
  </si>
  <si>
    <t>Jojen Dayne</t>
  </si>
  <si>
    <t>000.000.199-00</t>
  </si>
  <si>
    <t>Jojen Florent</t>
  </si>
  <si>
    <t>000.000.321-00</t>
  </si>
  <si>
    <t>Jojen Hornwood</t>
  </si>
  <si>
    <t>000.000.128-00</t>
  </si>
  <si>
    <t>Jojen Redwyne</t>
  </si>
  <si>
    <t>000.000.334-00</t>
  </si>
  <si>
    <t>24 anos</t>
  </si>
  <si>
    <t>Jojen Reed</t>
  </si>
  <si>
    <t>000.000.136-00</t>
  </si>
  <si>
    <t>20000 moedas</t>
  </si>
  <si>
    <t>Jon  Karstark</t>
  </si>
  <si>
    <t>000.000.139-00</t>
  </si>
  <si>
    <t>55 anos</t>
  </si>
  <si>
    <t>70500 moedas</t>
  </si>
  <si>
    <t>Jon Baelish</t>
  </si>
  <si>
    <t>Jon Bolton</t>
  </si>
  <si>
    <t>000.000.130-00</t>
  </si>
  <si>
    <t>Jon Cerwyn</t>
  </si>
  <si>
    <t>000.000.112-00</t>
  </si>
  <si>
    <t>13 batalhas</t>
  </si>
  <si>
    <t>Jon Dayne</t>
  </si>
  <si>
    <t>Jon Hightower</t>
  </si>
  <si>
    <t>000.000.081-00</t>
  </si>
  <si>
    <t>Jon Hornwood</t>
  </si>
  <si>
    <t>Jon Marbrand</t>
  </si>
  <si>
    <t>000.000.359-00</t>
  </si>
  <si>
    <t>Jon Tarth</t>
  </si>
  <si>
    <t>000.000.004-00</t>
  </si>
  <si>
    <t>000.000.208-00</t>
  </si>
  <si>
    <t>24 batalhas</t>
  </si>
  <si>
    <t>Jorah  Tyrell</t>
  </si>
  <si>
    <t>000.000.229-00</t>
  </si>
  <si>
    <t>Jorah Dondarrion</t>
  </si>
  <si>
    <t>000.000.294-00</t>
  </si>
  <si>
    <t>000.000.210-00</t>
  </si>
  <si>
    <t>10400 moedas</t>
  </si>
  <si>
    <t>Jorah Florent</t>
  </si>
  <si>
    <t>000.000.204-00</t>
  </si>
  <si>
    <t>26 batalhas</t>
  </si>
  <si>
    <t>Jorah Hightower</t>
  </si>
  <si>
    <t>000.000.007-00</t>
  </si>
  <si>
    <t>000.000.346-00</t>
  </si>
  <si>
    <t>1 batalhas</t>
  </si>
  <si>
    <t>Jorah Marbrand</t>
  </si>
  <si>
    <t>000.000.168-00</t>
  </si>
  <si>
    <t>Pedra do Dragão | Terras da Coroa</t>
  </si>
  <si>
    <t>30 batalhas</t>
  </si>
  <si>
    <t>000.000.339-00</t>
  </si>
  <si>
    <t>Jorah Redwyne</t>
  </si>
  <si>
    <t>Jorah Seaworth</t>
  </si>
  <si>
    <t>28800 moedas</t>
  </si>
  <si>
    <t>Loras  Tarth</t>
  </si>
  <si>
    <t>000.000.286-00</t>
  </si>
  <si>
    <t>LORAS BAELISH</t>
  </si>
  <si>
    <t>000.000.217-00</t>
  </si>
  <si>
    <t>Loras Bracken</t>
  </si>
  <si>
    <t>000.000.254-00</t>
  </si>
  <si>
    <t>Atalaia da Água Cinzenta | Gargalo</t>
  </si>
  <si>
    <t>17500 moedas</t>
  </si>
  <si>
    <t>Loras Clegane</t>
  </si>
  <si>
    <t>000.000.287-00</t>
  </si>
  <si>
    <t>Loras Frey</t>
  </si>
  <si>
    <t>000.000.017-00</t>
  </si>
  <si>
    <t>Jardim de Cima | Campina</t>
  </si>
  <si>
    <t>Loras Greyjoy</t>
  </si>
  <si>
    <t>000.000.362-00</t>
  </si>
  <si>
    <t>Loras Lannister</t>
  </si>
  <si>
    <t>000.000.302-00</t>
  </si>
  <si>
    <t>Loras Manderly</t>
  </si>
  <si>
    <t>Monte Chifre | Campina</t>
  </si>
  <si>
    <t>18 batalhas</t>
  </si>
  <si>
    <t>loras payne</t>
  </si>
  <si>
    <t>000.000.027-00</t>
  </si>
  <si>
    <t>Lyanna Florent</t>
  </si>
  <si>
    <t>Lyanna Marbrand</t>
  </si>
  <si>
    <t>000.000.283-00</t>
  </si>
  <si>
    <t>22000 moedas</t>
  </si>
  <si>
    <t>Lyanna Seaworth</t>
  </si>
  <si>
    <t>000.000.041-00</t>
  </si>
  <si>
    <t>Lyanna Stark</t>
  </si>
  <si>
    <t>000.000.023-00</t>
  </si>
  <si>
    <t>Lyanna Swyft</t>
  </si>
  <si>
    <t>Lyanna Tarly</t>
  </si>
  <si>
    <t>000.000.232-00</t>
  </si>
  <si>
    <t>LYANNA TARTH</t>
  </si>
  <si>
    <t>000.000.345-00</t>
  </si>
  <si>
    <t>19900 moedas</t>
  </si>
  <si>
    <t>Lyanna Westerling</t>
  </si>
  <si>
    <t>Margaery  Hornwood</t>
  </si>
  <si>
    <t>Margaery Cerwyn</t>
  </si>
  <si>
    <t>000.000.211-00</t>
  </si>
  <si>
    <t>5 batalhas</t>
  </si>
  <si>
    <t>Margaery Dayne</t>
  </si>
  <si>
    <t>000.000.276-00</t>
  </si>
  <si>
    <t>MARGAERY DONDARRION</t>
  </si>
  <si>
    <t>Margaery Manderly</t>
  </si>
  <si>
    <t>000.000.222-00</t>
  </si>
  <si>
    <t>Margaery Marbrand</t>
  </si>
  <si>
    <t>000.000.146-00</t>
  </si>
  <si>
    <t>Margaery Tarly</t>
  </si>
  <si>
    <t>000.000.274-00</t>
  </si>
  <si>
    <t>Margaery Tyrell</t>
  </si>
  <si>
    <t>000.000.107-00</t>
  </si>
  <si>
    <t>MEERA PAYNE</t>
  </si>
  <si>
    <t>000.000.131-00</t>
  </si>
  <si>
    <t>DORNE</t>
  </si>
  <si>
    <t>Meera Reed</t>
  </si>
  <si>
    <t>000.000.314-00</t>
  </si>
  <si>
    <t>Meera Tarly</t>
  </si>
  <si>
    <t>000.000.326-00</t>
  </si>
  <si>
    <t>Melisandre  Baelish</t>
  </si>
  <si>
    <t>000.000.152-00</t>
  </si>
  <si>
    <t>25100 moedas</t>
  </si>
  <si>
    <t>Melisandre Baratheon</t>
  </si>
  <si>
    <t>000.000.020-00</t>
  </si>
  <si>
    <t>MELISANDRE BARATHEON</t>
  </si>
  <si>
    <t>000.000.364-00</t>
  </si>
  <si>
    <t>Melisandre Blackwood</t>
  </si>
  <si>
    <t>000.000.051-00</t>
  </si>
  <si>
    <t>Melisandre Cerwyn</t>
  </si>
  <si>
    <t>000.000.120-00</t>
  </si>
  <si>
    <t>6400 moedas</t>
  </si>
  <si>
    <t>Melisandre Clegane</t>
  </si>
  <si>
    <t>000.000.231-00</t>
  </si>
  <si>
    <t>Melisandre Crakehall</t>
  </si>
  <si>
    <t>000.000.260-00</t>
  </si>
  <si>
    <t>45500 moedas</t>
  </si>
  <si>
    <t>Melisandre Glover</t>
  </si>
  <si>
    <t>000.000.329-00</t>
  </si>
  <si>
    <t>MELISANDRE TARGARYEN</t>
  </si>
  <si>
    <t>000.000.170-00</t>
  </si>
  <si>
    <t>Missandei  Tarly</t>
  </si>
  <si>
    <t>000.000.196-00</t>
  </si>
  <si>
    <t>Missandei Florent</t>
  </si>
  <si>
    <t>000.000.282-00</t>
  </si>
  <si>
    <t>Missandei Glover</t>
  </si>
  <si>
    <t>TERRAS DA TEMPESTADE</t>
  </si>
  <si>
    <t>Missandei Karstark</t>
  </si>
  <si>
    <t>000.000.044-00</t>
  </si>
  <si>
    <t>missandei redwyne</t>
  </si>
  <si>
    <t>000.000.111-00</t>
  </si>
  <si>
    <t>Missandei Tarly</t>
  </si>
  <si>
    <t>Olenna Arryn</t>
  </si>
  <si>
    <t>Olenna Baelish</t>
  </si>
  <si>
    <t>000.000.191-00</t>
  </si>
  <si>
    <t>3500 moedas</t>
  </si>
  <si>
    <t>Olenna Bracken</t>
  </si>
  <si>
    <t>000.000.225-00</t>
  </si>
  <si>
    <t>olenna hornwood</t>
  </si>
  <si>
    <t>Olenna Reed</t>
  </si>
  <si>
    <t>000.000.248-00</t>
  </si>
  <si>
    <t>Braavos | Essos</t>
  </si>
  <si>
    <t>Petyr Greyjoy</t>
  </si>
  <si>
    <t>000.000.301-00</t>
  </si>
  <si>
    <t>Petyr Karstark</t>
  </si>
  <si>
    <t>Petyr Mallister</t>
  </si>
  <si>
    <t>Petyr Snow</t>
  </si>
  <si>
    <t>Petyr Swyft</t>
  </si>
  <si>
    <t>000.000.275-00</t>
  </si>
  <si>
    <t>petyr yronwood</t>
  </si>
  <si>
    <t>000.000.095-00</t>
  </si>
  <si>
    <t>Podrick Blackwood</t>
  </si>
  <si>
    <t>000.000.135-00</t>
  </si>
  <si>
    <t>Podrick Dayne</t>
  </si>
  <si>
    <t>Podrick Florent</t>
  </si>
  <si>
    <t>000.000.354-00</t>
  </si>
  <si>
    <t>Podrick Swyft</t>
  </si>
  <si>
    <t>000.000.090-00</t>
  </si>
  <si>
    <t>Podrick Targaryen</t>
  </si>
  <si>
    <t>000.000.050-00</t>
  </si>
  <si>
    <t>29900 moedas</t>
  </si>
  <si>
    <t>Ramsay Dayne</t>
  </si>
  <si>
    <t>000.000.224-00</t>
  </si>
  <si>
    <t>Ramsay Dondarrion</t>
  </si>
  <si>
    <t>000.000.054-00</t>
  </si>
  <si>
    <t>Ramsay Hornwood</t>
  </si>
  <si>
    <t>000.000.005-00</t>
  </si>
  <si>
    <t>23400 moedas</t>
  </si>
  <si>
    <t>Ramsay Stark</t>
  </si>
  <si>
    <t>000.000.169-00</t>
  </si>
  <si>
    <t>Ramsay Tarly</t>
  </si>
  <si>
    <t>Renly Blackwood</t>
  </si>
  <si>
    <t>000.000.106-00</t>
  </si>
  <si>
    <t>Renly Bolton</t>
  </si>
  <si>
    <t>renly bolton</t>
  </si>
  <si>
    <t>000.000.303-00</t>
  </si>
  <si>
    <t>renly dayne</t>
  </si>
  <si>
    <t>000.000.065-00</t>
  </si>
  <si>
    <t>Renly Mallister</t>
  </si>
  <si>
    <t>000.000.372-00</t>
  </si>
  <si>
    <t>RENLY MORMONT</t>
  </si>
  <si>
    <t>000.000.376-00</t>
  </si>
  <si>
    <t>19 batalhas</t>
  </si>
  <si>
    <t>Renly Redwyne</t>
  </si>
  <si>
    <t>000.000.045-00</t>
  </si>
  <si>
    <t>Renly Seaworth</t>
  </si>
  <si>
    <t>RENLY STARK</t>
  </si>
  <si>
    <t>Renly Tallhart</t>
  </si>
  <si>
    <t>Rhaegar Dayne</t>
  </si>
  <si>
    <t>000.000.335-00</t>
  </si>
  <si>
    <t>Rhaegar Hornwood</t>
  </si>
  <si>
    <t>000.000.178-00</t>
  </si>
  <si>
    <t>Rhaegar Lannister</t>
  </si>
  <si>
    <t>Rhaegar Mormont</t>
  </si>
  <si>
    <t>000.000.109-00</t>
  </si>
  <si>
    <t>Rhaegar Payne</t>
  </si>
  <si>
    <t>000.000.253-00</t>
  </si>
  <si>
    <t>rhaegar stark</t>
  </si>
  <si>
    <t>000.000.119-00</t>
  </si>
  <si>
    <t>Rhaegar Tallhart</t>
  </si>
  <si>
    <t>Rhaegar Targaryen</t>
  </si>
  <si>
    <t>000.000.342-00</t>
  </si>
  <si>
    <t>31 batalhas</t>
  </si>
  <si>
    <t>Rhaegar Umber</t>
  </si>
  <si>
    <t>000.000.247-00</t>
  </si>
  <si>
    <t>Rickon Crakehall</t>
  </si>
  <si>
    <t>000.000.066-00</t>
  </si>
  <si>
    <t>Rickon Frey</t>
  </si>
  <si>
    <t>000.000.013-00</t>
  </si>
  <si>
    <t>Rickon Karstark</t>
  </si>
  <si>
    <t>48500 moedas</t>
  </si>
  <si>
    <t>000.000.088-00</t>
  </si>
  <si>
    <t>Rickon Lannister</t>
  </si>
  <si>
    <t>000.000.197-00</t>
  </si>
  <si>
    <t>40 batalhas</t>
  </si>
  <si>
    <t>Rickon Redwyne</t>
  </si>
  <si>
    <t>Rickon Targaryen</t>
  </si>
  <si>
    <t>000.000.298-00</t>
  </si>
  <si>
    <t>4000 moedas</t>
  </si>
  <si>
    <t>Robb Baratheon</t>
  </si>
  <si>
    <t>000.000.365-00</t>
  </si>
  <si>
    <t>Robb Clegane</t>
  </si>
  <si>
    <t>000.000.304-00</t>
  </si>
  <si>
    <t>Robb Greyjoy</t>
  </si>
  <si>
    <t>000.000.227-00</t>
  </si>
  <si>
    <t>Robb Reed</t>
  </si>
  <si>
    <t>000.000.246-00</t>
  </si>
  <si>
    <t>Robb Stark</t>
  </si>
  <si>
    <t>000.000.228-00</t>
  </si>
  <si>
    <t>ROBERT CERWYN</t>
  </si>
  <si>
    <t>17800 moedas</t>
  </si>
  <si>
    <t>Robert Hornwood</t>
  </si>
  <si>
    <t>41 anos</t>
  </si>
  <si>
    <t>000.000.259-00</t>
  </si>
  <si>
    <t>23000 moedas</t>
  </si>
  <si>
    <t>Robert Karstark</t>
  </si>
  <si>
    <t>000.000.184-00</t>
  </si>
  <si>
    <t>robert mallister</t>
  </si>
  <si>
    <t>000.000.037-00</t>
  </si>
  <si>
    <t>Robert Mallister</t>
  </si>
  <si>
    <t>Robert Manderly</t>
  </si>
  <si>
    <t>Robert Stark</t>
  </si>
  <si>
    <t>000.000.315-00</t>
  </si>
  <si>
    <t>Robert Tarth</t>
  </si>
  <si>
    <t>000.000.001-00</t>
  </si>
  <si>
    <t>Robert Westerling</t>
  </si>
  <si>
    <t>000.000.105-00</t>
  </si>
  <si>
    <t>27300 moedas</t>
  </si>
  <si>
    <t>Robert Yronwood</t>
  </si>
  <si>
    <t>000.000.075-00</t>
  </si>
  <si>
    <t>Roose Bolton</t>
  </si>
  <si>
    <t>Roose Bracken</t>
  </si>
  <si>
    <t>Roose Cerwyn</t>
  </si>
  <si>
    <t>32 anos</t>
  </si>
  <si>
    <t>41 batalhas</t>
  </si>
  <si>
    <t>loqueado</t>
  </si>
  <si>
    <t>000.000.047-00</t>
  </si>
  <si>
    <t>Roose Dondarrion</t>
  </si>
  <si>
    <t>000.000.126-00</t>
  </si>
  <si>
    <t>Roose Manderly</t>
  </si>
  <si>
    <t>Samwell Glover</t>
  </si>
  <si>
    <t>samwell yronwood</t>
  </si>
  <si>
    <t>000.000.124-00</t>
  </si>
  <si>
    <t>Sandor Clegane</t>
  </si>
  <si>
    <t>000.000.164-00</t>
  </si>
  <si>
    <t>Sandor Dondarrion</t>
  </si>
  <si>
    <t>SANDOR WESTERLING</t>
  </si>
  <si>
    <t>Sandor Westerling</t>
  </si>
  <si>
    <t>000.000.008-00</t>
  </si>
  <si>
    <t>Sansa Dondarrion</t>
  </si>
  <si>
    <t>000.000.101-00</t>
  </si>
  <si>
    <t>Shae  Dayne</t>
  </si>
  <si>
    <t>000.000.312-00</t>
  </si>
  <si>
    <t>Shae Clegane</t>
  </si>
  <si>
    <t>000.000.205-00</t>
  </si>
  <si>
    <t>Shae Frey</t>
  </si>
  <si>
    <t>61500 moedas</t>
  </si>
  <si>
    <t>Shae Mormont</t>
  </si>
  <si>
    <t>000.000.307-00</t>
  </si>
  <si>
    <t>000.000.114-00</t>
  </si>
  <si>
    <t>Shae Seaworth</t>
  </si>
  <si>
    <t>000.000.030-00</t>
  </si>
  <si>
    <t>Shae Tarly</t>
  </si>
  <si>
    <t>000.000.235-00</t>
  </si>
  <si>
    <t>Stannis  Cerwyn</t>
  </si>
  <si>
    <t>Stannis Crakehall</t>
  </si>
  <si>
    <t>000.000.351-00</t>
  </si>
  <si>
    <t>Stannis Greyjoy</t>
  </si>
  <si>
    <t>000.000.236-00</t>
  </si>
  <si>
    <t>Stannis Lannister</t>
  </si>
  <si>
    <t>11000 moedas</t>
  </si>
  <si>
    <t>Stannis Redwyne</t>
  </si>
  <si>
    <t>000.000.216-00</t>
  </si>
  <si>
    <t>3 batalhas</t>
  </si>
  <si>
    <t>Stannis Seaworth</t>
  </si>
  <si>
    <t>000.000.316-00</t>
  </si>
  <si>
    <t>Stannis Westerling</t>
  </si>
  <si>
    <t>000.000.071-00</t>
  </si>
  <si>
    <t>theon baelish</t>
  </si>
  <si>
    <t>000.000.380-00</t>
  </si>
  <si>
    <t>THEON BARATHEON</t>
  </si>
  <si>
    <t>000.000.375-00</t>
  </si>
  <si>
    <t>22900 moedas</t>
  </si>
  <si>
    <t>SIM</t>
  </si>
  <si>
    <t>Theon Frey</t>
  </si>
  <si>
    <t>000.000.123-00</t>
  </si>
  <si>
    <t>Theon Karstark</t>
  </si>
  <si>
    <t>000.000.296-00</t>
  </si>
  <si>
    <t>theon tarth</t>
  </si>
  <si>
    <t>000.000.289-00</t>
  </si>
  <si>
    <t>Thoros  Baelish</t>
  </si>
  <si>
    <t>000.000.011-00</t>
  </si>
  <si>
    <t>Thoros  Frey</t>
  </si>
  <si>
    <t>000.000.113-00</t>
  </si>
  <si>
    <t>Thoros Clegane</t>
  </si>
  <si>
    <t>000.000.141-00</t>
  </si>
  <si>
    <t>Thoros Crakehall</t>
  </si>
  <si>
    <t>Thoros Greyjoy</t>
  </si>
  <si>
    <t>000.000.043-00</t>
  </si>
  <si>
    <t>60000 moedas</t>
  </si>
  <si>
    <t>000.000.374-00</t>
  </si>
  <si>
    <t>THOROS HORNWOOD</t>
  </si>
  <si>
    <t>000.000.245-00</t>
  </si>
  <si>
    <t>Thoros Karstark</t>
  </si>
  <si>
    <t>000.000.012-00</t>
  </si>
  <si>
    <t>Thoros Payne</t>
  </si>
  <si>
    <t>Thoros Tarth</t>
  </si>
  <si>
    <t>000.000.280-00</t>
  </si>
  <si>
    <t>29500 moedas</t>
  </si>
  <si>
    <t>Thoros Westerling</t>
  </si>
  <si>
    <t>Thoros Yronwood</t>
  </si>
  <si>
    <t>000.000.104-00</t>
  </si>
  <si>
    <t>000.000.201-00</t>
  </si>
  <si>
    <t>Tormund  Cerwyn</t>
  </si>
  <si>
    <t>000.000.039-00</t>
  </si>
  <si>
    <t>tormund glover</t>
  </si>
  <si>
    <t>000.000.087-00</t>
  </si>
  <si>
    <t>Tormund Greyjoy</t>
  </si>
  <si>
    <t>000.000.009-00</t>
  </si>
  <si>
    <t>Tormund Karstark</t>
  </si>
  <si>
    <t>000.000.284-00</t>
  </si>
  <si>
    <t>tormund royce</t>
  </si>
  <si>
    <t>000.000.297-00</t>
  </si>
  <si>
    <t>Tormund Tyrell</t>
  </si>
  <si>
    <t>000.000.378-00</t>
  </si>
  <si>
    <t>Tormund Yronwood</t>
  </si>
  <si>
    <t>000.000.187-00</t>
  </si>
  <si>
    <t>Tyrion Blackwood</t>
  </si>
  <si>
    <t>000.000.100-00</t>
  </si>
  <si>
    <t>Tyrion Clegane</t>
  </si>
  <si>
    <t>000.000.281-00</t>
  </si>
  <si>
    <t>11400 moedas</t>
  </si>
  <si>
    <t>Tyrion Karstark</t>
  </si>
  <si>
    <t>OESTE</t>
  </si>
  <si>
    <t>Tyrion Lannister</t>
  </si>
  <si>
    <t>Tyrion Snow</t>
  </si>
  <si>
    <t>Tyrion Tyrell</t>
  </si>
  <si>
    <t>Varys  Blackwood</t>
  </si>
  <si>
    <t>Varys  Stark</t>
  </si>
  <si>
    <t>Varys Arryn</t>
  </si>
  <si>
    <t>000.000.097-00</t>
  </si>
  <si>
    <t>Varys Blackwood</t>
  </si>
  <si>
    <t>000.000.373-00</t>
  </si>
  <si>
    <t>Varys Bolton</t>
  </si>
  <si>
    <t>VARYS BRACKEN</t>
  </si>
  <si>
    <t>000.000.215-00</t>
  </si>
  <si>
    <t>2000 moedas</t>
  </si>
  <si>
    <t>Varys Florent</t>
  </si>
  <si>
    <t>Varys Lannister</t>
  </si>
  <si>
    <t>000.000.010-00</t>
  </si>
  <si>
    <t>80000 moedas</t>
  </si>
  <si>
    <t>000.000.367-00</t>
  </si>
  <si>
    <t>21600 moedas</t>
  </si>
  <si>
    <t>Varys Tallhart</t>
  </si>
  <si>
    <t>Varys Targaryen</t>
  </si>
  <si>
    <t>000.000.234-00</t>
  </si>
  <si>
    <t>Viserys  Umber</t>
  </si>
  <si>
    <t>000.000.155-00</t>
  </si>
  <si>
    <t>18000 moedas</t>
  </si>
  <si>
    <t>Viserys Baratheon</t>
  </si>
  <si>
    <t>000.000.186-00</t>
  </si>
  <si>
    <t>Viserys Florent</t>
  </si>
  <si>
    <t>000.000.129-00</t>
  </si>
  <si>
    <t>Viserys Hightower</t>
  </si>
  <si>
    <t>000.000.080-00</t>
  </si>
  <si>
    <t>20800 moedas</t>
  </si>
  <si>
    <t>Viserys Seaworth</t>
  </si>
  <si>
    <t>000.000.024-00</t>
  </si>
  <si>
    <t>Yara  Marbrand</t>
  </si>
  <si>
    <t>000.000.266-00</t>
  </si>
  <si>
    <t>Yara Baelish</t>
  </si>
  <si>
    <t>Yara Mallister</t>
  </si>
  <si>
    <t>000.000.134-00</t>
  </si>
  <si>
    <t>Yara Payne</t>
  </si>
  <si>
    <t>000.000.250-00</t>
  </si>
  <si>
    <t>Yara Royce</t>
  </si>
  <si>
    <t>000.000.277-00</t>
  </si>
  <si>
    <t>Yara Tallhart</t>
  </si>
  <si>
    <t>yara targaryen</t>
  </si>
  <si>
    <t>000.000.059-00</t>
  </si>
  <si>
    <t>18200 moedas</t>
  </si>
  <si>
    <t>31000 moedas</t>
  </si>
  <si>
    <t>Auditoria de Qualidade dos Dados</t>
  </si>
  <si>
    <t>Coluna analisada</t>
  </si>
  <si>
    <t>Valor encontrado</t>
  </si>
  <si>
    <t>Quantidade</t>
  </si>
  <si>
    <t>Problema identificado</t>
  </si>
  <si>
    <t>Ação</t>
  </si>
  <si>
    <t>Impacto</t>
  </si>
  <si>
    <t>Status</t>
  </si>
  <si>
    <t>Capitalização inconsistente</t>
  </si>
  <si>
    <t>Padronizar → Ativo</t>
  </si>
  <si>
    <t>Baixo</t>
  </si>
  <si>
    <t>Padronizar → Inativo</t>
  </si>
  <si>
    <t>Valor no padrão esperado</t>
  </si>
  <si>
    <t>Manter</t>
  </si>
  <si>
    <t>Possível erro de digitação / categoria inconsistente</t>
  </si>
  <si>
    <t>Validar dado</t>
  </si>
  <si>
    <t>Alto</t>
  </si>
  <si>
    <t>Categoria não prevista / possível erro de digitação</t>
  </si>
  <si>
    <t>Vazio</t>
  </si>
  <si>
    <t>Dado ausente</t>
  </si>
  <si>
    <t>Nome</t>
  </si>
  <si>
    <t>Nomes em minúsculas</t>
  </si>
  <si>
    <t>Padronizar → Primeira letra maiúscula</t>
  </si>
  <si>
    <t>Nomes em maiúsculas</t>
  </si>
  <si>
    <t>Idade</t>
  </si>
  <si>
    <t>Idades vazias</t>
  </si>
  <si>
    <t>Médio</t>
  </si>
  <si>
    <t>Idades desatualizadas</t>
  </si>
  <si>
    <t>Idades desatualizadas com o dia de hoje</t>
  </si>
  <si>
    <t>Colunas para validação e correção</t>
  </si>
  <si>
    <t>CPF</t>
  </si>
  <si>
    <t>CPF com quantidade de caracteres inválida</t>
  </si>
  <si>
    <t>Quantidade de caracteres incompatível com o padrão</t>
  </si>
  <si>
    <t>Registros com CPF duplicado</t>
  </si>
  <si>
    <t>Possível duplicação de registro/cliente</t>
  </si>
  <si>
    <t>Data_Nascimento</t>
  </si>
  <si>
    <t>Datas futuras</t>
  </si>
  <si>
    <t>Nenhuma inconsistência encontrada</t>
  </si>
  <si>
    <t>Datas inválidas</t>
  </si>
  <si>
    <t>Datas fora do padrão</t>
  </si>
  <si>
    <t>Renda_Mensal</t>
  </si>
  <si>
    <t>Sem renda</t>
  </si>
  <si>
    <t>Informação categórica em campo monetário</t>
  </si>
  <si>
    <t>Manter / tratar separadamente</t>
  </si>
  <si>
    <t>Valores negativos</t>
  </si>
  <si>
    <t>Valores iguais a zero</t>
  </si>
  <si>
    <t>Valores discrepantes</t>
  </si>
  <si>
    <t>Nenhum valor extremo identificado</t>
  </si>
  <si>
    <t>Credito_Tomado</t>
  </si>
  <si>
    <t>Informação não numérica</t>
  </si>
  <si>
    <t>X moedas</t>
  </si>
  <si>
    <t>Valor numérico acompanhado de unidade textual</t>
  </si>
  <si>
    <t>Padronizar → número</t>
  </si>
  <si>
    <t>Crédito tomado igual a zero</t>
  </si>
  <si>
    <t>Manter / investigar</t>
  </si>
  <si>
    <t>Valores extremos</t>
  </si>
  <si>
    <t>Flag_Inadimplente</t>
  </si>
  <si>
    <t>Padronizar → Não</t>
  </si>
  <si>
    <t>Ausência de acentuação</t>
  </si>
  <si>
    <t>Padronizar → Sim</t>
  </si>
  <si>
    <t>Categoria numérica não padronizada</t>
  </si>
  <si>
    <t>Quantidade_Batalhas</t>
  </si>
  <si>
    <t>X batalhas</t>
  </si>
  <si>
    <t>Valor válido possível</t>
  </si>
  <si>
    <t>Valor_Solicitado</t>
  </si>
  <si>
    <t>Valores vazios</t>
  </si>
  <si>
    <t>Valores não numéricos</t>
  </si>
  <si>
    <t>Formatos diferentes</t>
  </si>
  <si>
    <t>ID_Solicitação</t>
  </si>
  <si>
    <t>Status_Padronizado</t>
  </si>
  <si>
    <t>Nome_Padronizado</t>
  </si>
  <si>
    <t>CPF_Validação</t>
  </si>
  <si>
    <t>CPF_Duplicado</t>
  </si>
  <si>
    <t>Idade_Padronizada</t>
  </si>
  <si>
    <t>Idade_Validação</t>
  </si>
  <si>
    <t>Idade_Conferência</t>
  </si>
  <si>
    <t>Cidade_Padronizada</t>
  </si>
  <si>
    <t>Regiao_Padronizada</t>
  </si>
  <si>
    <t>Renda_Padronizada</t>
  </si>
  <si>
    <t>Credito_Tomado_Padronizado</t>
  </si>
  <si>
    <t>Analise_Credito</t>
  </si>
  <si>
    <t>Liberação_Credito</t>
  </si>
  <si>
    <t>Flag_Inadimplente_Padronizada</t>
  </si>
  <si>
    <t>Quantidade_Batalhas_Padronizada</t>
  </si>
  <si>
    <t>Nivel_Risco</t>
  </si>
  <si>
    <t>Analise_Risco</t>
  </si>
  <si>
    <t>Valor_Solicitado_Padronizado</t>
  </si>
  <si>
    <t>SOL001</t>
  </si>
  <si>
    <t>SOL002</t>
  </si>
  <si>
    <t>SOL003</t>
  </si>
  <si>
    <t>SOL004</t>
  </si>
  <si>
    <t>SOL005</t>
  </si>
  <si>
    <t>SOL006</t>
  </si>
  <si>
    <t>SOL007</t>
  </si>
  <si>
    <t>SOL008</t>
  </si>
  <si>
    <t>SOL009</t>
  </si>
  <si>
    <t>SOL010</t>
  </si>
  <si>
    <t>SOL011</t>
  </si>
  <si>
    <t>SOL012</t>
  </si>
  <si>
    <t>SOL013</t>
  </si>
  <si>
    <t>SOL014</t>
  </si>
  <si>
    <t>SOL015</t>
  </si>
  <si>
    <t>SOL016</t>
  </si>
  <si>
    <t>SOL017</t>
  </si>
  <si>
    <t>SOL018</t>
  </si>
  <si>
    <t>SOL019</t>
  </si>
  <si>
    <t>SOL020</t>
  </si>
  <si>
    <t>SOL021</t>
  </si>
  <si>
    <t>SOL022</t>
  </si>
  <si>
    <t>SOL023</t>
  </si>
  <si>
    <t>SOL024</t>
  </si>
  <si>
    <t>SOL025</t>
  </si>
  <si>
    <t>SOL026</t>
  </si>
  <si>
    <t>vazio</t>
  </si>
  <si>
    <t>SOL027</t>
  </si>
  <si>
    <t>SOL028</t>
  </si>
  <si>
    <t>SOL029</t>
  </si>
  <si>
    <t>SOL030</t>
  </si>
  <si>
    <t>SOL031</t>
  </si>
  <si>
    <t>SOL032</t>
  </si>
  <si>
    <t>SOL033</t>
  </si>
  <si>
    <t>SOL034</t>
  </si>
  <si>
    <t>SOL035</t>
  </si>
  <si>
    <t>SOL036</t>
  </si>
  <si>
    <t>SOL037</t>
  </si>
  <si>
    <t>SOL038</t>
  </si>
  <si>
    <t>SOL039</t>
  </si>
  <si>
    <t>SOL040</t>
  </si>
  <si>
    <t>SOL041</t>
  </si>
  <si>
    <t>SOL042</t>
  </si>
  <si>
    <t>SOL043</t>
  </si>
  <si>
    <t>SOL044</t>
  </si>
  <si>
    <t>SOL045</t>
  </si>
  <si>
    <t>SOL046</t>
  </si>
  <si>
    <t>SOL047</t>
  </si>
  <si>
    <t>SOL048</t>
  </si>
  <si>
    <t>SOL049</t>
  </si>
  <si>
    <t>SOL050</t>
  </si>
  <si>
    <t>SOL051</t>
  </si>
  <si>
    <t>SOL052</t>
  </si>
  <si>
    <t>SOL053</t>
  </si>
  <si>
    <t>SOL054</t>
  </si>
  <si>
    <t>Data de nascimento vazia</t>
  </si>
  <si>
    <t>SOL055</t>
  </si>
  <si>
    <t>SOL056</t>
  </si>
  <si>
    <t>SOL057</t>
  </si>
  <si>
    <t>SOL058</t>
  </si>
  <si>
    <t>SOL059</t>
  </si>
  <si>
    <t>SOL060</t>
  </si>
  <si>
    <t>SOL061</t>
  </si>
  <si>
    <t>SOL062</t>
  </si>
  <si>
    <t>SOL063</t>
  </si>
  <si>
    <t>SOL064</t>
  </si>
  <si>
    <t>SOL065</t>
  </si>
  <si>
    <t>SOL066</t>
  </si>
  <si>
    <t>SOL067</t>
  </si>
  <si>
    <t>SOL068</t>
  </si>
  <si>
    <t>SOL069</t>
  </si>
  <si>
    <t>SOL070</t>
  </si>
  <si>
    <t>SOL071</t>
  </si>
  <si>
    <t>SOL072</t>
  </si>
  <si>
    <t>SOL073</t>
  </si>
  <si>
    <t>SOL074</t>
  </si>
  <si>
    <t>SOL075</t>
  </si>
  <si>
    <t>SOL076</t>
  </si>
  <si>
    <t>SOL077</t>
  </si>
  <si>
    <t>SOL078</t>
  </si>
  <si>
    <t>SOL079</t>
  </si>
  <si>
    <t>SOL080</t>
  </si>
  <si>
    <t>SOL081</t>
  </si>
  <si>
    <t>SOL082</t>
  </si>
  <si>
    <t>SOL083</t>
  </si>
  <si>
    <t>SOL084</t>
  </si>
  <si>
    <t>SOL085</t>
  </si>
  <si>
    <t>SOL086</t>
  </si>
  <si>
    <t>SOL087</t>
  </si>
  <si>
    <t>SOL088</t>
  </si>
  <si>
    <t>SOL089</t>
  </si>
  <si>
    <t>SOL090</t>
  </si>
  <si>
    <t>SOL091</t>
  </si>
  <si>
    <t>SOL092</t>
  </si>
  <si>
    <t>SOL093</t>
  </si>
  <si>
    <t>SOL094</t>
  </si>
  <si>
    <t>SOL095</t>
  </si>
  <si>
    <t>SOL096</t>
  </si>
  <si>
    <t>SOL097</t>
  </si>
  <si>
    <t>SOL098</t>
  </si>
  <si>
    <t>SOL099</t>
  </si>
  <si>
    <t>SOL100</t>
  </si>
  <si>
    <t>SOL101</t>
  </si>
  <si>
    <t>SOL102</t>
  </si>
  <si>
    <t>SOL103</t>
  </si>
  <si>
    <t>SOL104</t>
  </si>
  <si>
    <t>SOL105</t>
  </si>
  <si>
    <t>SOL106</t>
  </si>
  <si>
    <t>SOL107</t>
  </si>
  <si>
    <t>SOL108</t>
  </si>
  <si>
    <t>SOL109</t>
  </si>
  <si>
    <t>SOL110</t>
  </si>
  <si>
    <t>SOL111</t>
  </si>
  <si>
    <t>SOL112</t>
  </si>
  <si>
    <t>SOL113</t>
  </si>
  <si>
    <t>SOL114</t>
  </si>
  <si>
    <t>SOL115</t>
  </si>
  <si>
    <t>SOL116</t>
  </si>
  <si>
    <t>SOL117</t>
  </si>
  <si>
    <t>SOL118</t>
  </si>
  <si>
    <t>SOL119</t>
  </si>
  <si>
    <t>SOL120</t>
  </si>
  <si>
    <t>SOL121</t>
  </si>
  <si>
    <t>SOL122</t>
  </si>
  <si>
    <t>SOL123</t>
  </si>
  <si>
    <t>SOL124</t>
  </si>
  <si>
    <t>SOL125</t>
  </si>
  <si>
    <t>SOL126</t>
  </si>
  <si>
    <t>SOL127</t>
  </si>
  <si>
    <t>SOL128</t>
  </si>
  <si>
    <t>SOL129</t>
  </si>
  <si>
    <t>SOL130</t>
  </si>
  <si>
    <t>SOL131</t>
  </si>
  <si>
    <t>SOL132</t>
  </si>
  <si>
    <t>SOL133</t>
  </si>
  <si>
    <t>SOL134</t>
  </si>
  <si>
    <t>SOL135</t>
  </si>
  <si>
    <t>SOL136</t>
  </si>
  <si>
    <t>SOL137</t>
  </si>
  <si>
    <t>SOL138</t>
  </si>
  <si>
    <t>SOL139</t>
  </si>
  <si>
    <t>SOL140</t>
  </si>
  <si>
    <t>SOL141</t>
  </si>
  <si>
    <t>SOL142</t>
  </si>
  <si>
    <t>SOL143</t>
  </si>
  <si>
    <t>SOL144</t>
  </si>
  <si>
    <t>SOL145</t>
  </si>
  <si>
    <t>SOL146</t>
  </si>
  <si>
    <t>SOL147</t>
  </si>
  <si>
    <t>SOL148</t>
  </si>
  <si>
    <t>SOL149</t>
  </si>
  <si>
    <t>SOL150</t>
  </si>
  <si>
    <t>SOL151</t>
  </si>
  <si>
    <t>SOL152</t>
  </si>
  <si>
    <t>SOL153</t>
  </si>
  <si>
    <t>SOL154</t>
  </si>
  <si>
    <t>SOL155</t>
  </si>
  <si>
    <t>SOL156</t>
  </si>
  <si>
    <t>SOL157</t>
  </si>
  <si>
    <t>SOL158</t>
  </si>
  <si>
    <t>SOL159</t>
  </si>
  <si>
    <t>SOL160</t>
  </si>
  <si>
    <t>SOL161</t>
  </si>
  <si>
    <t>SOL162</t>
  </si>
  <si>
    <t>SOL163</t>
  </si>
  <si>
    <t>SOL164</t>
  </si>
  <si>
    <t>SOL165</t>
  </si>
  <si>
    <t>SOL166</t>
  </si>
  <si>
    <t>SOL167</t>
  </si>
  <si>
    <t>SOL168</t>
  </si>
  <si>
    <t>SOL169</t>
  </si>
  <si>
    <t>SOL170</t>
  </si>
  <si>
    <t>SOL171</t>
  </si>
  <si>
    <t>SOL172</t>
  </si>
  <si>
    <t>SOL173</t>
  </si>
  <si>
    <t>SOL174</t>
  </si>
  <si>
    <t>SOL175</t>
  </si>
  <si>
    <t>SOL176</t>
  </si>
  <si>
    <t>SOL177</t>
  </si>
  <si>
    <t>SOL178</t>
  </si>
  <si>
    <t>SOL179</t>
  </si>
  <si>
    <t>SOL180</t>
  </si>
  <si>
    <t>SOL181</t>
  </si>
  <si>
    <t>SOL182</t>
  </si>
  <si>
    <t>SOL183</t>
  </si>
  <si>
    <t>SOL184</t>
  </si>
  <si>
    <t>SOL185</t>
  </si>
  <si>
    <t>SOL186</t>
  </si>
  <si>
    <t>SOL187</t>
  </si>
  <si>
    <t>SOL188</t>
  </si>
  <si>
    <t>SOL189</t>
  </si>
  <si>
    <t>SOL190</t>
  </si>
  <si>
    <t>SOL191</t>
  </si>
  <si>
    <t>SOL192</t>
  </si>
  <si>
    <t>SOL193</t>
  </si>
  <si>
    <t>SOL194</t>
  </si>
  <si>
    <t>SOL195</t>
  </si>
  <si>
    <t>SOL196</t>
  </si>
  <si>
    <t>SOL197</t>
  </si>
  <si>
    <t>SOL198</t>
  </si>
  <si>
    <t>SOL199</t>
  </si>
  <si>
    <t>SOL200</t>
  </si>
  <si>
    <t>SOL201</t>
  </si>
  <si>
    <t>SOL202</t>
  </si>
  <si>
    <t>SOL203</t>
  </si>
  <si>
    <t>SOL204</t>
  </si>
  <si>
    <t>SOL205</t>
  </si>
  <si>
    <t>SOL206</t>
  </si>
  <si>
    <t>SOL207</t>
  </si>
  <si>
    <t>SOL208</t>
  </si>
  <si>
    <t>SOL209</t>
  </si>
  <si>
    <t>SOL210</t>
  </si>
  <si>
    <t>SOL211</t>
  </si>
  <si>
    <t>SOL212</t>
  </si>
  <si>
    <t>SOL213</t>
  </si>
  <si>
    <t>SOL214</t>
  </si>
  <si>
    <t>SOL215</t>
  </si>
  <si>
    <t>SOL216</t>
  </si>
  <si>
    <t>SOL217</t>
  </si>
  <si>
    <t>SOL218</t>
  </si>
  <si>
    <t>SOL219</t>
  </si>
  <si>
    <t>SOL220</t>
  </si>
  <si>
    <t>SOL221</t>
  </si>
  <si>
    <t>SOL222</t>
  </si>
  <si>
    <t>SOL223</t>
  </si>
  <si>
    <t>SOL224</t>
  </si>
  <si>
    <t>SOL225</t>
  </si>
  <si>
    <t>SOL226</t>
  </si>
  <si>
    <t>SOL227</t>
  </si>
  <si>
    <t>SOL228</t>
  </si>
  <si>
    <t>SOL229</t>
  </si>
  <si>
    <t>SOL230</t>
  </si>
  <si>
    <t>SOL231</t>
  </si>
  <si>
    <t>SOL232</t>
  </si>
  <si>
    <t>SOL233</t>
  </si>
  <si>
    <t>SOL234</t>
  </si>
  <si>
    <t>SOL235</t>
  </si>
  <si>
    <t>SOL236</t>
  </si>
  <si>
    <t>SOL237</t>
  </si>
  <si>
    <t>SOL238</t>
  </si>
  <si>
    <t>SOL239</t>
  </si>
  <si>
    <t>SOL240</t>
  </si>
  <si>
    <t>SOL241</t>
  </si>
  <si>
    <t>SOL242</t>
  </si>
  <si>
    <t>SOL243</t>
  </si>
  <si>
    <t>SOL244</t>
  </si>
  <si>
    <t>SOL245</t>
  </si>
  <si>
    <t>SOL246</t>
  </si>
  <si>
    <t>SOL247</t>
  </si>
  <si>
    <t>SOL248</t>
  </si>
  <si>
    <t>SOL249</t>
  </si>
  <si>
    <t>SOL250</t>
  </si>
  <si>
    <t>SOL251</t>
  </si>
  <si>
    <t>SOL252</t>
  </si>
  <si>
    <t>SOL253</t>
  </si>
  <si>
    <t>SOL254</t>
  </si>
  <si>
    <t>SOL255</t>
  </si>
  <si>
    <t>SOL256</t>
  </si>
  <si>
    <t>SOL257</t>
  </si>
  <si>
    <t>SOL258</t>
  </si>
  <si>
    <t>SOL259</t>
  </si>
  <si>
    <t>SOL260</t>
  </si>
  <si>
    <t>SOL261</t>
  </si>
  <si>
    <t>SOL262</t>
  </si>
  <si>
    <t>SOL263</t>
  </si>
  <si>
    <t>SOL264</t>
  </si>
  <si>
    <t>SOL265</t>
  </si>
  <si>
    <t>SOL266</t>
  </si>
  <si>
    <t>SOL267</t>
  </si>
  <si>
    <t>SOL268</t>
  </si>
  <si>
    <t>SOL269</t>
  </si>
  <si>
    <t>SOL270</t>
  </si>
  <si>
    <t>SOL271</t>
  </si>
  <si>
    <t>SOL272</t>
  </si>
  <si>
    <t>SOL273</t>
  </si>
  <si>
    <t>SOL274</t>
  </si>
  <si>
    <t>SOL275</t>
  </si>
  <si>
    <t>SOL276</t>
  </si>
  <si>
    <t>SOL277</t>
  </si>
  <si>
    <t>SOL278</t>
  </si>
  <si>
    <t>SOL279</t>
  </si>
  <si>
    <t>SOL280</t>
  </si>
  <si>
    <t>SOL281</t>
  </si>
  <si>
    <t>SOL282</t>
  </si>
  <si>
    <t>SOL283</t>
  </si>
  <si>
    <t>SOL284</t>
  </si>
  <si>
    <t>SOL285</t>
  </si>
  <si>
    <t>SOL286</t>
  </si>
  <si>
    <t>SOL287</t>
  </si>
  <si>
    <t>SOL288</t>
  </si>
  <si>
    <t>SOL289</t>
  </si>
  <si>
    <t>SOL290</t>
  </si>
  <si>
    <t>SOL291</t>
  </si>
  <si>
    <t>SOL292</t>
  </si>
  <si>
    <t>SOL293</t>
  </si>
  <si>
    <t>SOL294</t>
  </si>
  <si>
    <t>SOL295</t>
  </si>
  <si>
    <t>SOL296</t>
  </si>
  <si>
    <t>SOL297</t>
  </si>
  <si>
    <t>SOL298</t>
  </si>
  <si>
    <t>SOL299</t>
  </si>
  <si>
    <t>SOL300</t>
  </si>
  <si>
    <t>SOL301</t>
  </si>
  <si>
    <t>SOL302</t>
  </si>
  <si>
    <t>SOL303</t>
  </si>
  <si>
    <t>SOL304</t>
  </si>
  <si>
    <t>SOL305</t>
  </si>
  <si>
    <t>SOL306</t>
  </si>
  <si>
    <t>SOL307</t>
  </si>
  <si>
    <t>SOL308</t>
  </si>
  <si>
    <t>SOL309</t>
  </si>
  <si>
    <t>SOL310</t>
  </si>
  <si>
    <t>SOL311</t>
  </si>
  <si>
    <t>SOL312</t>
  </si>
  <si>
    <t>SOL313</t>
  </si>
  <si>
    <t>SOL314</t>
  </si>
  <si>
    <t>SOL315</t>
  </si>
  <si>
    <t>SOL316</t>
  </si>
  <si>
    <t>SOL317</t>
  </si>
  <si>
    <t>SOL318</t>
  </si>
  <si>
    <t>SOL319</t>
  </si>
  <si>
    <t>SOL320</t>
  </si>
  <si>
    <t>SOL321</t>
  </si>
  <si>
    <t>SOL322</t>
  </si>
  <si>
    <t>SOL323</t>
  </si>
  <si>
    <t>SOL324</t>
  </si>
  <si>
    <t>SOL325</t>
  </si>
  <si>
    <t>SOL326</t>
  </si>
  <si>
    <t>SOL327</t>
  </si>
  <si>
    <t>SOL328</t>
  </si>
  <si>
    <t>SOL329</t>
  </si>
  <si>
    <t>SOL330</t>
  </si>
  <si>
    <t>SOL331</t>
  </si>
  <si>
    <t>SOL332</t>
  </si>
  <si>
    <t>SOL333</t>
  </si>
  <si>
    <t>SOL334</t>
  </si>
  <si>
    <t>SOL335</t>
  </si>
  <si>
    <t>SOL336</t>
  </si>
  <si>
    <t>SOL337</t>
  </si>
  <si>
    <t>SOL338</t>
  </si>
  <si>
    <t>SOL339</t>
  </si>
  <si>
    <t>SOL340</t>
  </si>
  <si>
    <t>SOL341</t>
  </si>
  <si>
    <t>SOL342</t>
  </si>
  <si>
    <t>SOL343</t>
  </si>
  <si>
    <t>SOL344</t>
  </si>
  <si>
    <t>SOL345</t>
  </si>
  <si>
    <t>SOL346</t>
  </si>
  <si>
    <t>SOL347</t>
  </si>
  <si>
    <t>SOL348</t>
  </si>
  <si>
    <t>SOL349</t>
  </si>
  <si>
    <t>SOL350</t>
  </si>
  <si>
    <t>SOL351</t>
  </si>
  <si>
    <t>SOL352</t>
  </si>
  <si>
    <t>SOL353</t>
  </si>
  <si>
    <t>SOL354</t>
  </si>
  <si>
    <t>SOL355</t>
  </si>
  <si>
    <t>SOL356</t>
  </si>
  <si>
    <t>SOL357</t>
  </si>
  <si>
    <t>SOL358</t>
  </si>
  <si>
    <t>SOL359</t>
  </si>
  <si>
    <t>SOL360</t>
  </si>
  <si>
    <t>SOL361</t>
  </si>
  <si>
    <t>SOL362</t>
  </si>
  <si>
    <t>SOL363</t>
  </si>
  <si>
    <t>SOL364</t>
  </si>
  <si>
    <t>SOL365</t>
  </si>
  <si>
    <t>SOL366</t>
  </si>
  <si>
    <t>SOL367</t>
  </si>
  <si>
    <t>SOL368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</si>
</sst>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yyyy\-mm\-dd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0"/>
      <color theme="1"/>
      <name val="Arial Black"/>
    </font>
    <font>
      <sz val="20"/>
      <color theme="0"/>
      <name val="Arial Black"/>
    </font>
    <font>
      <sz val="20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ck">
        <color theme="1"/>
      </right>
      <top style="medium">
        <color theme="1"/>
      </top>
      <bottom style="thick">
        <color theme="1"/>
      </bottom>
      <diagonal/>
    </border>
    <border>
      <left style="thick">
        <color theme="1"/>
      </left>
      <right style="medium">
        <color theme="1"/>
      </right>
      <top style="medium">
        <color theme="1"/>
      </top>
      <bottom style="thick">
        <color theme="1"/>
      </bottom>
      <diagonal/>
    </border>
    <border>
      <left style="thick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ck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ck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ck">
        <color theme="1"/>
      </right>
      <top/>
      <bottom/>
      <diagonal/>
    </border>
    <border>
      <left style="medium">
        <color theme="0"/>
      </left>
      <right style="thick">
        <color theme="1"/>
      </right>
      <top style="medium">
        <color theme="0"/>
      </top>
      <bottom style="medium">
        <color theme="0"/>
      </bottom>
      <diagonal/>
    </border>
    <border>
      <left style="thick">
        <color theme="1"/>
      </left>
      <right style="thick">
        <color theme="1"/>
      </right>
      <top style="medium">
        <color theme="0"/>
      </top>
      <bottom style="medium">
        <color theme="0"/>
      </bottom>
      <diagonal/>
    </border>
    <border>
      <left style="thick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59">
    <xf numFmtId="0" fontId="0" fillId="0" borderId="0" xfId="0"/>
    <xf numFmtId="14" fontId="0" fillId="0" borderId="0" xfId="0" applyNumberFormat="1"/>
    <xf numFmtId="8" fontId="0" fillId="0" borderId="0" xfId="0" applyNumberFormat="1"/>
    <xf numFmtId="3" fontId="0" fillId="0" borderId="0" xfId="0" applyNumberFormat="1"/>
    <xf numFmtId="0" fontId="0" fillId="0" borderId="0" xfId="0" applyNumberFormat="1"/>
    <xf numFmtId="164" fontId="0" fillId="0" borderId="0" xfId="0" applyNumberFormat="1" applyAlignment="1">
      <alignment horizontal="center"/>
    </xf>
    <xf numFmtId="4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/>
    <xf numFmtId="1" fontId="0" fillId="0" borderId="11" xfId="0" applyNumberFormat="1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18" fillId="0" borderId="14" xfId="0" applyFont="1" applyBorder="1"/>
    <xf numFmtId="0" fontId="0" fillId="0" borderId="13" xfId="0" applyBorder="1"/>
    <xf numFmtId="0" fontId="0" fillId="0" borderId="16" xfId="0" applyBorder="1"/>
    <xf numFmtId="1" fontId="0" fillId="0" borderId="16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7" xfId="0" applyBorder="1"/>
    <xf numFmtId="0" fontId="19" fillId="0" borderId="18" xfId="0" applyFont="1" applyBorder="1"/>
    <xf numFmtId="0" fontId="19" fillId="0" borderId="19" xfId="0" applyFont="1" applyBorder="1"/>
    <xf numFmtId="1" fontId="19" fillId="0" borderId="19" xfId="0" applyNumberFormat="1" applyFont="1" applyBorder="1" applyAlignment="1">
      <alignment vertical="center"/>
    </xf>
    <xf numFmtId="0" fontId="19" fillId="0" borderId="20" xfId="0" applyFont="1" applyBorder="1" applyAlignment="1"/>
    <xf numFmtId="0" fontId="22" fillId="0" borderId="0" xfId="0" applyFont="1"/>
    <xf numFmtId="0" fontId="19" fillId="0" borderId="19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0" fillId="0" borderId="24" xfId="0" applyNumberFormat="1" applyFont="1" applyBorder="1"/>
    <xf numFmtId="49" fontId="0" fillId="0" borderId="24" xfId="0" applyNumberFormat="1" applyFont="1" applyBorder="1"/>
    <xf numFmtId="49" fontId="0" fillId="0" borderId="24" xfId="0" applyNumberFormat="1" applyFont="1" applyBorder="1" applyAlignment="1">
      <alignment horizontal="center"/>
    </xf>
    <xf numFmtId="0" fontId="0" fillId="0" borderId="24" xfId="0" applyNumberFormat="1" applyFont="1" applyBorder="1" applyAlignment="1">
      <alignment horizontal="center"/>
    </xf>
    <xf numFmtId="14" fontId="0" fillId="0" borderId="24" xfId="0" applyNumberFormat="1" applyFont="1" applyBorder="1" applyAlignment="1">
      <alignment horizontal="center"/>
    </xf>
    <xf numFmtId="0" fontId="0" fillId="0" borderId="24" xfId="0" applyFont="1" applyBorder="1"/>
    <xf numFmtId="44" fontId="0" fillId="0" borderId="24" xfId="0" applyNumberFormat="1" applyFont="1" applyBorder="1"/>
    <xf numFmtId="44" fontId="0" fillId="0" borderId="24" xfId="0" applyNumberFormat="1" applyFont="1" applyBorder="1" applyAlignment="1">
      <alignment horizontal="center"/>
    </xf>
    <xf numFmtId="44" fontId="0" fillId="0" borderId="24" xfId="0" applyNumberFormat="1" applyFont="1" applyBorder="1" applyAlignment="1">
      <alignment horizontal="right"/>
    </xf>
    <xf numFmtId="0" fontId="0" fillId="0" borderId="24" xfId="0" applyFont="1" applyBorder="1" applyAlignment="1">
      <alignment horizontal="center"/>
    </xf>
    <xf numFmtId="0" fontId="0" fillId="0" borderId="25" xfId="0" applyNumberFormat="1" applyFont="1" applyBorder="1"/>
    <xf numFmtId="0" fontId="0" fillId="0" borderId="26" xfId="0" applyNumberFormat="1" applyFont="1" applyBorder="1" applyAlignment="1">
      <alignment horizontal="center"/>
    </xf>
    <xf numFmtId="0" fontId="0" fillId="0" borderId="27" xfId="0" applyNumberFormat="1" applyFont="1" applyBorder="1" applyAlignment="1">
      <alignment horizontal="center"/>
    </xf>
    <xf numFmtId="0" fontId="0" fillId="0" borderId="28" xfId="0" applyNumberFormat="1" applyFont="1" applyBorder="1" applyAlignment="1">
      <alignment horizontal="center"/>
    </xf>
    <xf numFmtId="0" fontId="0" fillId="0" borderId="29" xfId="0" applyNumberFormat="1" applyFont="1" applyBorder="1" applyAlignment="1">
      <alignment horizontal="center"/>
    </xf>
    <xf numFmtId="0" fontId="0" fillId="0" borderId="30" xfId="0" applyNumberFormat="1" applyFont="1" applyBorder="1" applyAlignment="1">
      <alignment horizontal="center"/>
    </xf>
    <xf numFmtId="0" fontId="0" fillId="0" borderId="31" xfId="0" applyNumberFormat="1" applyFont="1" applyBorder="1" applyAlignment="1">
      <alignment horizontal="center"/>
    </xf>
    <xf numFmtId="0" fontId="0" fillId="0" borderId="32" xfId="0" applyBorder="1"/>
    <xf numFmtId="0" fontId="0" fillId="0" borderId="33" xfId="0" applyBorder="1" applyAlignment="1">
      <alignment horizontal="center"/>
    </xf>
    <xf numFmtId="49" fontId="20" fillId="33" borderId="21" xfId="0" applyNumberFormat="1" applyFont="1" applyFill="1" applyBorder="1" applyAlignment="1">
      <alignment horizontal="center" vertical="center"/>
    </xf>
    <xf numFmtId="49" fontId="21" fillId="33" borderId="22" xfId="0" applyNumberFormat="1" applyFont="1" applyFill="1" applyBorder="1" applyAlignment="1">
      <alignment horizontal="center" vertical="center"/>
    </xf>
    <xf numFmtId="49" fontId="21" fillId="33" borderId="23" xfId="0" applyNumberFormat="1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yperlink" xfId="42" xr:uid="{00000000-000B-0000-0000-000008000000}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 style="thin">
          <color theme="1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</border>
    </dxf>
    <dxf>
      <font>
        <color rgb="FF9C0006"/>
      </font>
    </dxf>
    <dxf>
      <font>
        <color theme="7" tint="-0.249977111117893"/>
      </font>
    </dxf>
    <dxf>
      <font>
        <color theme="9" tint="-0.249977111117893"/>
      </font>
    </dxf>
    <dxf>
      <font>
        <color rgb="FF9C0006"/>
      </font>
    </dxf>
    <dxf>
      <font>
        <color theme="9" tint="-0.249977111117893"/>
      </font>
    </dxf>
    <dxf>
      <alignment horizontal="center"/>
      <border>
        <left style="medium">
          <color theme="1"/>
        </left>
        <right/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numFmt numFmtId="1" formatCode="0"/>
      <alignment horizontal="center" vertical="center" relativeIndent="-1"/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alignment horizontal="left"/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border>
        <left/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border>
        <top style="medium">
          <color theme="1"/>
        </top>
      </border>
    </dxf>
    <dxf>
      <border>
        <bottom style="medium">
          <color theme="1"/>
        </bottom>
      </border>
    </dxf>
    <dxf>
      <font>
        <sz val="10"/>
        <name val="Arial Black"/>
      </font>
      <border>
        <left style="medium">
          <color theme="1"/>
        </left>
        <right style="medium">
          <color theme="1"/>
        </right>
        <top/>
        <bottom/>
        <vertical style="medium">
          <color theme="1"/>
        </vertical>
        <horizontal style="medium">
          <color theme="1"/>
        </horizontal>
      </border>
    </dxf>
    <dxf>
      <font>
        <color theme="7" tint="-0.249977111117893"/>
      </font>
    </dxf>
    <dxf>
      <font>
        <color rgb="FF9C0006"/>
      </font>
    </dxf>
    <dxf>
      <font>
        <color theme="9" tint="-0.249977111117893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27E4FB-4A6A-4700-969D-C794E490EE83}" name="Base_Original" displayName="Base_Original" ref="A1:N369" totalsRowShown="0">
  <autoFilter ref="A1:N369" xr:uid="{4827E4FB-4A6A-4700-969D-C794E490EE83}"/>
  <sortState xmlns:xlrd2="http://schemas.microsoft.com/office/spreadsheetml/2017/richdata2" ref="A2:N369">
    <sortCondition ref="B1:B369"/>
  </sortState>
  <tableColumns count="14">
    <tableColumn id="1" xr3:uid="{390D1D7A-262D-41A4-B5D6-74779BB8D70E}" name="status"/>
    <tableColumn id="2" xr3:uid="{541FC2B3-9765-48A0-8DFA-8D8748D80AC4}" name="nome"/>
    <tableColumn id="3" xr3:uid="{A433F259-112D-4E35-B380-D75B836A2C04}" name="cpf"/>
    <tableColumn id="4" xr3:uid="{66D24F4E-7D5B-4007-9EDC-8A61C242FEE3}" name="idade"/>
    <tableColumn id="5" xr3:uid="{FCD4E87E-D7B7-4733-8093-303E7F6CDCB7}" name="data_nascimento" dataDxfId="39"/>
    <tableColumn id="6" xr3:uid="{6DD74C93-5515-4C8C-9E13-1DE51B96D5ED}" name="cidade"/>
    <tableColumn id="7" xr3:uid="{9F1A4F71-E3F7-4C52-AF83-B04408D97DD2}" name="regiao"/>
    <tableColumn id="8" xr3:uid="{EB7F28FC-A65C-404E-9EC1-B532147800D7}" name="renda_mensal"/>
    <tableColumn id="9" xr3:uid="{5FCFE6A4-DBE3-453F-980B-26D0D6F2EFC0}" name="credito_tomado"/>
    <tableColumn id="10" xr3:uid="{7D3562AA-BE4A-4EFD-BF4B-7AAFA5D456AC}" name="flag_inadimplente"/>
    <tableColumn id="11" xr3:uid="{5A08BE1F-F61A-4CD9-947A-56DF951AE3E5}" name="qtde_batalhas"/>
    <tableColumn id="12" xr3:uid="{324711C7-EAD5-4FFB-BA64-A5437D8A4F27}" name="nivel_risco"/>
    <tableColumn id="13" xr3:uid="{6829ED2F-6775-4F6C-8572-526D83E54F81}" name="flag_inadimplente2"/>
    <tableColumn id="14" xr3:uid="{C2CBB321-5686-4EA0-B775-F87001889057}" name="valor_solicitado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AE715-AFAB-43A9-B1CD-F66D29585EAD}" name="Tabela1" displayName="Tabela1" ref="A2:F52" totalsRowShown="0" headerRowDxfId="35" headerRowBorderDxfId="34" totalsRowBorderDxfId="33">
  <autoFilter ref="A2:F52" xr:uid="{1E5AE715-AFAB-43A9-B1CD-F66D29585EAD}"/>
  <tableColumns count="6">
    <tableColumn id="1" xr3:uid="{944423E9-5830-4438-A8AC-98792925EE04}" name="Coluna analisada" dataDxfId="32"/>
    <tableColumn id="2" xr3:uid="{F9E5C2EC-C94E-4366-987D-EC043C82219E}" name="Valor encontrado" dataDxfId="31"/>
    <tableColumn id="3" xr3:uid="{ED5353F9-79BA-4A72-9578-75D856C077F6}" name="Quantidade" dataDxfId="30"/>
    <tableColumn id="4" xr3:uid="{4E7266B3-89F5-42A9-B7CC-4FA3C2DCF7D4}" name="Problema identificado" dataDxfId="29"/>
    <tableColumn id="5" xr3:uid="{4D4A1F00-1A6E-480B-8C14-B5F190CAF6F3}" name="Ação" dataDxfId="28"/>
    <tableColumn id="6" xr3:uid="{B118A167-304F-4CBE-84AA-DDA6D379E0DE}" name="Impacto" dataDxfId="27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8498CB-C1C9-44A9-B322-EF4F86CEAF3B}" name="Tabela2" displayName="Tabela2" ref="A1:U369" totalsRowShown="0" tableBorderDxfId="21">
  <autoFilter ref="A1:U369" xr:uid="{F38498CB-C1C9-44A9-B322-EF4F86CEAF3B}"/>
  <sortState xmlns:xlrd2="http://schemas.microsoft.com/office/spreadsheetml/2017/richdata2" ref="A2:U369">
    <sortCondition ref="C1:C369"/>
  </sortState>
  <tableColumns count="21">
    <tableColumn id="1" xr3:uid="{91912FEA-40DE-448E-B16A-AE1E575AE620}" name="ID_Solicitação" dataDxfId="20"/>
    <tableColumn id="2" xr3:uid="{4930DB42-2D85-449B-BA9F-0753EEA78AFD}" name="Status_Padronizado" dataDxfId="19"/>
    <tableColumn id="3" xr3:uid="{C3913BD5-7D90-4D18-A32E-CD4BE1F83E9F}" name="Nome_Padronizado" dataDxfId="18"/>
    <tableColumn id="4" xr3:uid="{9E77CD6A-0137-4C63-9002-5A39DC430187}" name="CPF" dataDxfId="17"/>
    <tableColumn id="5" xr3:uid="{EE8BC183-C7FB-4EBC-8314-D5B802AC1824}" name="CPF_Validação" dataDxfId="16">
      <calculatedColumnFormula>IF($D2="","Vazio",IF(LEN(SUBSTITUTE(SUBSTITUTE($D2&amp;"",".",""),"-",""))&lt;&gt;11,"Inválido","OK"))</calculatedColumnFormula>
    </tableColumn>
    <tableColumn id="6" xr3:uid="{13B6BB3C-5C9E-45D4-94D3-26FD1A79B7A6}" name="CPF_Duplicado" dataDxfId="15">
      <calculatedColumnFormula>IF($D2="","Vazio",IF(COUNTIF($D$2:$D$369,$D2)&gt;1,"Duplicado","Único"))</calculatedColumnFormula>
    </tableColumn>
    <tableColumn id="22" xr3:uid="{81A5F20F-FCC2-4879-A5BA-02F06C024D96}" name="Idade_Padronizada" dataDxfId="14">
      <calculatedColumnFormula>IF(TRIM(Base_Original!D2)="","",SUBSTITUTE(TRIM(Base_Original!D2),"anos",""))</calculatedColumnFormula>
    </tableColumn>
    <tableColumn id="8" xr3:uid="{AEDDB048-5458-48BB-BE55-637BC1A90FD4}" name="Idade_Validação" dataDxfId="13">
      <calculatedColumnFormula>IF($J2="","Vazio",DATEDIF($J2,DATE(2026,9,10),"Y"))</calculatedColumnFormula>
    </tableColumn>
    <tableColumn id="21" xr3:uid="{52496C1A-2447-4CD7-B7B0-2C3B0FDF6F74}" name="Idade_Conferência" dataDxfId="12">
      <calculatedColumnFormula>IF(OR(Tabela2[[#This Row],[Idade_Padronizada]]="",Tabela2[[#This Row],[Idade_Validação]]=""),"Vazio",IF(VALUE(Tabela2[[#This Row],[Idade_Padronizada]]&amp;"")=VALUE(Tabela2[[#This Row],[Idade_Validação]]&amp;""),"OK","Diferente"))</calculatedColumnFormula>
    </tableColumn>
    <tableColumn id="9" xr3:uid="{FFFD5010-3581-4448-A4E6-0697793A3B36}" name="Data_Nascimento" dataDxfId="11"/>
    <tableColumn id="10" xr3:uid="{D9ADF285-377E-4D45-8D0F-AD306E2A5245}" name="Cidade_Padronizada" dataDxfId="10"/>
    <tableColumn id="11" xr3:uid="{45A93931-C4EE-4F41-9C38-AB016229A592}" name="Regiao_Padronizada" dataDxfId="9"/>
    <tableColumn id="12" xr3:uid="{021F6AD9-2339-4EC2-A220-7D95F3A61130}" name="Renda_Padronizada" dataDxfId="8"/>
    <tableColumn id="13" xr3:uid="{36F0BE16-3697-444D-BBB8-5371186A7417}" name="Credito_Tomado_Padronizado" dataDxfId="7"/>
    <tableColumn id="14" xr3:uid="{3D2D67B3-E91D-4665-9B05-A9BDDA7DC49F}" name="Analise_Credito" dataDxfId="6">
      <calculatedColumnFormula>IF(AND($N2&gt;50000,$Q2="Sim"),"Negada","Aprovada")</calculatedColumnFormula>
    </tableColumn>
    <tableColumn id="15" xr3:uid="{9B23C0F2-CE69-4AD4-B9E4-25D1B722097D}" name="Liberação_Credito" dataDxfId="5">
      <calculatedColumnFormula>IF(AND($T2="Negada",$O2="Negada"),0,IF($B2="Ativo",$U2*8%,"0"))</calculatedColumnFormula>
    </tableColumn>
    <tableColumn id="16" xr3:uid="{34D9FF7A-E7AD-4BC0-BA65-58FDDEA756ED}" name="Flag_Inadimplente_Padronizada" dataDxfId="4"/>
    <tableColumn id="17" xr3:uid="{FDABE11B-DFE2-48F0-975F-0FC0170E50A8}" name="Quantidade_Batalhas_Padronizada" dataDxfId="3"/>
    <tableColumn id="18" xr3:uid="{CE9969FE-54F9-4730-B6B3-06E0AB02926E}" name="Nivel_Risco" dataDxfId="2">
      <calculatedColumnFormula>IF($R2="vazio","vazio",IF($R2&lt;=10,"Baixo",IF($R2&lt;=25,"Médio","Alto")))</calculatedColumnFormula>
    </tableColumn>
    <tableColumn id="19" xr3:uid="{A484D48B-5A67-40BF-8902-C0CF5B917E67}" name="Analise_Risco" dataDxfId="1">
      <calculatedColumnFormula>IF(AND($S2="Alto",$Q2="Sim"),"Negada","Aprovada")</calculatedColumnFormula>
    </tableColumn>
    <tableColumn id="20" xr3:uid="{15506521-7807-49A6-AABB-54170DADB032}" name="Valor_Solicitado_Padronizad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7F24-3708-4C6D-BA4B-6353F37B404E}">
  <dimension ref="A1:Y369"/>
  <sheetViews>
    <sheetView workbookViewId="0">
      <selection activeCell="B4" sqref="B4"/>
    </sheetView>
  </sheetViews>
  <sheetFormatPr defaultRowHeight="15"/>
  <cols>
    <col min="1" max="1" width="9.42578125" bestFit="1" customWidth="1"/>
    <col min="2" max="2" width="24.5703125" bestFit="1" customWidth="1"/>
    <col min="3" max="3" width="15" bestFit="1" customWidth="1"/>
    <col min="5" max="5" width="19" style="1" bestFit="1" customWidth="1"/>
    <col min="6" max="6" width="31.85546875" bestFit="1" customWidth="1"/>
    <col min="7" max="7" width="23.42578125" bestFit="1" customWidth="1"/>
    <col min="8" max="8" width="16.28515625" bestFit="1" customWidth="1"/>
    <col min="9" max="9" width="18" bestFit="1" customWidth="1"/>
    <col min="10" max="10" width="20" bestFit="1" customWidth="1"/>
    <col min="11" max="11" width="16.42578125" bestFit="1" customWidth="1"/>
    <col min="12" max="12" width="13" bestFit="1" customWidth="1"/>
    <col min="13" max="13" width="21" bestFit="1" customWidth="1"/>
    <col min="14" max="14" width="17.7109375" bestFit="1" customWidth="1"/>
    <col min="15" max="15" width="15.85546875" customWidth="1"/>
    <col min="16" max="16" width="1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5">
      <c r="A2" t="s">
        <v>14</v>
      </c>
      <c r="B2" t="s">
        <v>15</v>
      </c>
      <c r="C2">
        <v>24000</v>
      </c>
      <c r="D2">
        <v>47</v>
      </c>
      <c r="E2" s="1">
        <v>29031</v>
      </c>
      <c r="F2" t="s">
        <v>16</v>
      </c>
      <c r="H2" s="3">
        <v>28400</v>
      </c>
      <c r="I2">
        <v>78000</v>
      </c>
      <c r="J2" t="s">
        <v>17</v>
      </c>
      <c r="K2">
        <v>37</v>
      </c>
      <c r="M2" t="s">
        <v>17</v>
      </c>
      <c r="N2">
        <v>99000</v>
      </c>
    </row>
    <row r="3" spans="1:25">
      <c r="A3" t="s">
        <v>14</v>
      </c>
      <c r="B3" t="s">
        <v>18</v>
      </c>
      <c r="C3" t="s">
        <v>19</v>
      </c>
      <c r="D3">
        <v>69</v>
      </c>
      <c r="E3" s="1">
        <v>21054</v>
      </c>
      <c r="F3" t="s">
        <v>20</v>
      </c>
      <c r="G3" t="s">
        <v>21</v>
      </c>
      <c r="H3" s="3">
        <v>23800</v>
      </c>
      <c r="I3" t="s">
        <v>22</v>
      </c>
      <c r="K3">
        <v>26</v>
      </c>
      <c r="N3">
        <v>89000</v>
      </c>
    </row>
    <row r="4" spans="1:25">
      <c r="A4" t="s">
        <v>14</v>
      </c>
      <c r="B4" t="s">
        <v>23</v>
      </c>
      <c r="C4" t="s">
        <v>24</v>
      </c>
      <c r="D4">
        <v>69</v>
      </c>
      <c r="E4" s="1">
        <v>20725</v>
      </c>
      <c r="F4" t="s">
        <v>25</v>
      </c>
      <c r="G4" t="s">
        <v>26</v>
      </c>
      <c r="H4">
        <v>8100</v>
      </c>
      <c r="I4">
        <v>27500</v>
      </c>
      <c r="J4" t="s">
        <v>27</v>
      </c>
      <c r="K4">
        <v>42</v>
      </c>
      <c r="M4" t="s">
        <v>27</v>
      </c>
      <c r="N4">
        <v>72500</v>
      </c>
      <c r="P4" s="3"/>
    </row>
    <row r="5" spans="1:25">
      <c r="A5" t="s">
        <v>28</v>
      </c>
      <c r="B5" t="s">
        <v>29</v>
      </c>
      <c r="C5">
        <v>27100</v>
      </c>
      <c r="D5">
        <v>55</v>
      </c>
      <c r="E5" s="1">
        <v>25895</v>
      </c>
      <c r="F5" t="s">
        <v>30</v>
      </c>
      <c r="G5" t="s">
        <v>31</v>
      </c>
      <c r="H5">
        <v>6800</v>
      </c>
      <c r="I5">
        <v>12000</v>
      </c>
      <c r="J5" t="s">
        <v>17</v>
      </c>
      <c r="K5">
        <v>6</v>
      </c>
      <c r="M5" t="s">
        <v>17</v>
      </c>
      <c r="N5">
        <v>11000</v>
      </c>
      <c r="Y5">
        <f>Base_Original!D2</f>
        <v>47</v>
      </c>
    </row>
    <row r="6" spans="1:25">
      <c r="A6" t="s">
        <v>14</v>
      </c>
      <c r="B6" t="s">
        <v>32</v>
      </c>
      <c r="C6" t="s">
        <v>33</v>
      </c>
      <c r="D6">
        <v>56</v>
      </c>
      <c r="E6" s="1">
        <v>25525</v>
      </c>
      <c r="F6" t="s">
        <v>34</v>
      </c>
      <c r="G6" t="s">
        <v>34</v>
      </c>
      <c r="H6" t="s">
        <v>35</v>
      </c>
      <c r="I6">
        <v>63000</v>
      </c>
      <c r="J6" t="s">
        <v>17</v>
      </c>
      <c r="K6">
        <v>0</v>
      </c>
      <c r="M6" t="s">
        <v>17</v>
      </c>
      <c r="N6">
        <v>56000</v>
      </c>
    </row>
    <row r="7" spans="1:25">
      <c r="A7" t="s">
        <v>28</v>
      </c>
      <c r="B7" t="s">
        <v>36</v>
      </c>
      <c r="C7">
        <v>17100</v>
      </c>
      <c r="D7">
        <v>45</v>
      </c>
      <c r="E7" s="1">
        <v>29506</v>
      </c>
      <c r="F7" t="s">
        <v>37</v>
      </c>
      <c r="G7" t="s">
        <v>38</v>
      </c>
      <c r="H7">
        <v>5100</v>
      </c>
      <c r="I7" s="2">
        <v>25000</v>
      </c>
      <c r="J7" t="s">
        <v>17</v>
      </c>
      <c r="K7">
        <v>29</v>
      </c>
      <c r="M7" t="s">
        <v>17</v>
      </c>
      <c r="N7">
        <v>88000</v>
      </c>
    </row>
    <row r="8" spans="1:25">
      <c r="A8" t="s">
        <v>14</v>
      </c>
      <c r="B8" t="s">
        <v>39</v>
      </c>
      <c r="C8">
        <v>35200</v>
      </c>
      <c r="D8">
        <v>65</v>
      </c>
      <c r="E8" s="1">
        <v>22337</v>
      </c>
      <c r="F8" t="s">
        <v>40</v>
      </c>
      <c r="G8" t="s">
        <v>41</v>
      </c>
      <c r="H8">
        <v>3800</v>
      </c>
      <c r="I8">
        <v>49500</v>
      </c>
      <c r="J8" t="s">
        <v>17</v>
      </c>
      <c r="K8">
        <v>16</v>
      </c>
      <c r="M8" t="s">
        <v>17</v>
      </c>
      <c r="N8">
        <v>15500</v>
      </c>
    </row>
    <row r="9" spans="1:25">
      <c r="A9" t="s">
        <v>14</v>
      </c>
      <c r="B9" t="s">
        <v>42</v>
      </c>
      <c r="C9" t="s">
        <v>43</v>
      </c>
      <c r="D9">
        <v>19</v>
      </c>
      <c r="E9" s="1">
        <v>39016</v>
      </c>
      <c r="F9" t="s">
        <v>44</v>
      </c>
      <c r="G9" t="s">
        <v>45</v>
      </c>
      <c r="H9" s="3">
        <v>14900</v>
      </c>
      <c r="I9">
        <v>17000</v>
      </c>
      <c r="J9" t="s">
        <v>17</v>
      </c>
      <c r="K9">
        <v>20</v>
      </c>
      <c r="M9" t="s">
        <v>17</v>
      </c>
      <c r="N9">
        <v>29500</v>
      </c>
    </row>
    <row r="10" spans="1:25">
      <c r="A10" t="s">
        <v>28</v>
      </c>
      <c r="B10" t="s">
        <v>46</v>
      </c>
      <c r="C10" t="s">
        <v>47</v>
      </c>
      <c r="D10">
        <v>66</v>
      </c>
      <c r="E10" s="1">
        <v>22101</v>
      </c>
      <c r="F10" t="s">
        <v>30</v>
      </c>
      <c r="G10" t="s">
        <v>48</v>
      </c>
      <c r="H10">
        <v>16800</v>
      </c>
      <c r="I10">
        <v>79500</v>
      </c>
      <c r="J10" t="s">
        <v>17</v>
      </c>
      <c r="K10">
        <v>36</v>
      </c>
      <c r="M10" t="s">
        <v>17</v>
      </c>
      <c r="N10">
        <v>1500</v>
      </c>
    </row>
    <row r="11" spans="1:25">
      <c r="A11" t="s">
        <v>14</v>
      </c>
      <c r="B11" t="s">
        <v>49</v>
      </c>
      <c r="C11" t="s">
        <v>50</v>
      </c>
      <c r="D11">
        <v>24</v>
      </c>
      <c r="E11" s="1">
        <v>37172</v>
      </c>
      <c r="F11" t="s">
        <v>51</v>
      </c>
      <c r="G11" t="s">
        <v>52</v>
      </c>
      <c r="H11">
        <v>21600</v>
      </c>
      <c r="I11" s="2">
        <v>25000</v>
      </c>
      <c r="J11" t="s">
        <v>17</v>
      </c>
      <c r="K11">
        <v>33</v>
      </c>
      <c r="M11" t="s">
        <v>17</v>
      </c>
      <c r="N11">
        <v>17500</v>
      </c>
    </row>
    <row r="12" spans="1:25">
      <c r="A12" t="s">
        <v>14</v>
      </c>
      <c r="B12" t="s">
        <v>53</v>
      </c>
      <c r="C12" t="s">
        <v>54</v>
      </c>
      <c r="D12">
        <v>21</v>
      </c>
      <c r="E12" s="1">
        <v>38323</v>
      </c>
      <c r="F12" t="s">
        <v>25</v>
      </c>
      <c r="G12" t="s">
        <v>55</v>
      </c>
      <c r="H12" t="s">
        <v>56</v>
      </c>
      <c r="I12">
        <v>0</v>
      </c>
      <c r="J12" t="s">
        <v>17</v>
      </c>
      <c r="K12">
        <v>25</v>
      </c>
      <c r="M12" t="s">
        <v>17</v>
      </c>
      <c r="N12">
        <v>50000</v>
      </c>
    </row>
    <row r="13" spans="1:25">
      <c r="A13" t="s">
        <v>57</v>
      </c>
      <c r="B13" t="s">
        <v>58</v>
      </c>
      <c r="C13" t="s">
        <v>59</v>
      </c>
      <c r="D13">
        <v>49</v>
      </c>
      <c r="E13" s="1">
        <v>28049</v>
      </c>
      <c r="F13" t="s">
        <v>40</v>
      </c>
      <c r="G13" t="s">
        <v>41</v>
      </c>
      <c r="H13">
        <v>25200</v>
      </c>
      <c r="I13">
        <v>59500</v>
      </c>
      <c r="J13" t="s">
        <v>17</v>
      </c>
      <c r="K13">
        <v>37</v>
      </c>
      <c r="M13" t="s">
        <v>17</v>
      </c>
      <c r="N13">
        <v>86500</v>
      </c>
    </row>
    <row r="14" spans="1:25">
      <c r="A14" t="s">
        <v>14</v>
      </c>
      <c r="B14" t="s">
        <v>60</v>
      </c>
      <c r="C14" t="s">
        <v>61</v>
      </c>
      <c r="D14">
        <v>70</v>
      </c>
      <c r="E14" s="1">
        <v>20570</v>
      </c>
      <c r="F14" t="s">
        <v>62</v>
      </c>
      <c r="G14" t="s">
        <v>31</v>
      </c>
      <c r="H14">
        <v>16300</v>
      </c>
      <c r="I14">
        <v>16500</v>
      </c>
      <c r="J14" t="s">
        <v>17</v>
      </c>
      <c r="K14">
        <v>25</v>
      </c>
      <c r="M14" t="s">
        <v>17</v>
      </c>
      <c r="N14">
        <v>65500</v>
      </c>
    </row>
    <row r="15" spans="1:25">
      <c r="A15" t="s">
        <v>14</v>
      </c>
      <c r="B15" t="s">
        <v>63</v>
      </c>
      <c r="C15" t="s">
        <v>64</v>
      </c>
      <c r="D15">
        <v>50</v>
      </c>
      <c r="E15" s="1">
        <v>27886</v>
      </c>
      <c r="F15" t="s">
        <v>34</v>
      </c>
      <c r="G15" t="s">
        <v>34</v>
      </c>
      <c r="H15">
        <v>16100</v>
      </c>
      <c r="I15" s="3">
        <v>8000</v>
      </c>
      <c r="J15" t="s">
        <v>65</v>
      </c>
      <c r="K15">
        <v>30</v>
      </c>
      <c r="M15" t="s">
        <v>65</v>
      </c>
      <c r="N15">
        <v>27000</v>
      </c>
    </row>
    <row r="16" spans="1:25">
      <c r="A16" t="s">
        <v>57</v>
      </c>
      <c r="B16" t="s">
        <v>66</v>
      </c>
      <c r="C16">
        <v>6900</v>
      </c>
      <c r="D16">
        <v>51</v>
      </c>
      <c r="E16" s="1">
        <v>27590</v>
      </c>
      <c r="F16" t="s">
        <v>40</v>
      </c>
      <c r="G16" t="s">
        <v>41</v>
      </c>
      <c r="H16" s="3">
        <v>19400</v>
      </c>
      <c r="I16">
        <v>4000</v>
      </c>
      <c r="J16" t="s">
        <v>17</v>
      </c>
      <c r="K16">
        <v>30</v>
      </c>
      <c r="M16" t="s">
        <v>17</v>
      </c>
      <c r="N16">
        <v>38500</v>
      </c>
    </row>
    <row r="17" spans="1:14">
      <c r="A17" t="s">
        <v>14</v>
      </c>
      <c r="B17" t="s">
        <v>67</v>
      </c>
      <c r="C17" t="s">
        <v>68</v>
      </c>
      <c r="D17">
        <v>33</v>
      </c>
      <c r="E17" s="1">
        <v>34144</v>
      </c>
      <c r="F17" t="s">
        <v>69</v>
      </c>
      <c r="G17" t="s">
        <v>70</v>
      </c>
      <c r="H17" t="s">
        <v>71</v>
      </c>
      <c r="I17" t="s">
        <v>22</v>
      </c>
      <c r="J17" t="s">
        <v>72</v>
      </c>
      <c r="K17">
        <v>22</v>
      </c>
      <c r="M17" t="s">
        <v>72</v>
      </c>
      <c r="N17">
        <v>51500</v>
      </c>
    </row>
    <row r="18" spans="1:14">
      <c r="A18" t="s">
        <v>28</v>
      </c>
      <c r="B18" t="s">
        <v>73</v>
      </c>
      <c r="C18" t="s">
        <v>74</v>
      </c>
      <c r="D18">
        <v>29</v>
      </c>
      <c r="E18" s="1">
        <v>35607</v>
      </c>
      <c r="F18" t="s">
        <v>75</v>
      </c>
      <c r="G18" t="s">
        <v>41</v>
      </c>
      <c r="H18">
        <v>13800</v>
      </c>
      <c r="I18">
        <v>41500</v>
      </c>
      <c r="J18" t="s">
        <v>17</v>
      </c>
      <c r="K18">
        <v>34</v>
      </c>
      <c r="M18" t="s">
        <v>17</v>
      </c>
      <c r="N18">
        <v>66000</v>
      </c>
    </row>
    <row r="19" spans="1:14">
      <c r="A19" t="s">
        <v>76</v>
      </c>
      <c r="B19" t="s">
        <v>77</v>
      </c>
      <c r="C19">
        <v>10200</v>
      </c>
      <c r="D19">
        <v>35</v>
      </c>
      <c r="E19" s="1">
        <v>33444</v>
      </c>
      <c r="F19" t="s">
        <v>69</v>
      </c>
      <c r="G19" t="s">
        <v>70</v>
      </c>
      <c r="H19" s="3">
        <v>8400</v>
      </c>
      <c r="I19">
        <v>62500</v>
      </c>
      <c r="J19" t="s">
        <v>17</v>
      </c>
      <c r="K19">
        <v>31</v>
      </c>
      <c r="M19" t="s">
        <v>17</v>
      </c>
      <c r="N19">
        <v>83500</v>
      </c>
    </row>
    <row r="20" spans="1:14">
      <c r="A20" t="s">
        <v>14</v>
      </c>
      <c r="B20" t="s">
        <v>78</v>
      </c>
      <c r="C20">
        <v>8600</v>
      </c>
      <c r="E20" s="1">
        <v>32260</v>
      </c>
      <c r="F20" t="s">
        <v>44</v>
      </c>
      <c r="G20" t="s">
        <v>79</v>
      </c>
      <c r="H20" t="s">
        <v>80</v>
      </c>
      <c r="I20">
        <v>0</v>
      </c>
      <c r="J20" t="s">
        <v>65</v>
      </c>
      <c r="K20">
        <v>31</v>
      </c>
      <c r="M20" t="s">
        <v>65</v>
      </c>
      <c r="N20">
        <v>47500</v>
      </c>
    </row>
    <row r="21" spans="1:14">
      <c r="A21" t="s">
        <v>14</v>
      </c>
      <c r="B21" t="s">
        <v>78</v>
      </c>
      <c r="C21" t="s">
        <v>81</v>
      </c>
      <c r="D21">
        <v>59</v>
      </c>
      <c r="E21" s="1">
        <v>24710</v>
      </c>
      <c r="F21" t="s">
        <v>82</v>
      </c>
      <c r="H21" s="3">
        <v>19900</v>
      </c>
      <c r="I21" s="3">
        <v>55000</v>
      </c>
      <c r="J21" t="s">
        <v>17</v>
      </c>
      <c r="K21">
        <v>26</v>
      </c>
      <c r="M21" t="s">
        <v>17</v>
      </c>
      <c r="N21">
        <v>100000</v>
      </c>
    </row>
    <row r="22" spans="1:14">
      <c r="A22" t="s">
        <v>14</v>
      </c>
      <c r="B22" t="s">
        <v>83</v>
      </c>
      <c r="C22" t="s">
        <v>84</v>
      </c>
      <c r="D22">
        <v>37</v>
      </c>
      <c r="E22" s="1">
        <v>32680</v>
      </c>
      <c r="F22" t="s">
        <v>62</v>
      </c>
      <c r="G22" t="s">
        <v>31</v>
      </c>
      <c r="H22">
        <v>28900</v>
      </c>
      <c r="I22">
        <v>71000</v>
      </c>
      <c r="J22" t="s">
        <v>17</v>
      </c>
      <c r="K22">
        <v>28</v>
      </c>
      <c r="M22" t="s">
        <v>17</v>
      </c>
      <c r="N22">
        <v>36500</v>
      </c>
    </row>
    <row r="23" spans="1:14">
      <c r="A23" t="s">
        <v>14</v>
      </c>
      <c r="B23" t="s">
        <v>85</v>
      </c>
      <c r="D23">
        <v>73</v>
      </c>
      <c r="E23" s="1">
        <v>19538</v>
      </c>
      <c r="F23" t="s">
        <v>69</v>
      </c>
      <c r="G23" t="s">
        <v>86</v>
      </c>
      <c r="H23">
        <v>12700</v>
      </c>
      <c r="I23" s="2">
        <v>79500</v>
      </c>
      <c r="J23" t="s">
        <v>17</v>
      </c>
      <c r="K23">
        <v>35</v>
      </c>
      <c r="M23" t="s">
        <v>17</v>
      </c>
      <c r="N23">
        <v>39000</v>
      </c>
    </row>
    <row r="24" spans="1:14">
      <c r="A24" t="s">
        <v>14</v>
      </c>
      <c r="B24" t="s">
        <v>87</v>
      </c>
      <c r="C24" t="s">
        <v>88</v>
      </c>
      <c r="D24">
        <v>55</v>
      </c>
      <c r="E24" s="1">
        <v>26104</v>
      </c>
      <c r="F24" t="s">
        <v>44</v>
      </c>
      <c r="G24" t="s">
        <v>89</v>
      </c>
      <c r="H24" s="3">
        <v>22100</v>
      </c>
      <c r="I24">
        <v>41500</v>
      </c>
      <c r="J24" t="s">
        <v>17</v>
      </c>
      <c r="K24">
        <v>18</v>
      </c>
      <c r="M24" t="s">
        <v>17</v>
      </c>
      <c r="N24">
        <v>65000</v>
      </c>
    </row>
    <row r="25" spans="1:14">
      <c r="A25" t="s">
        <v>28</v>
      </c>
      <c r="B25" t="s">
        <v>90</v>
      </c>
      <c r="C25">
        <v>24300</v>
      </c>
      <c r="D25">
        <v>25</v>
      </c>
      <c r="E25" s="1">
        <v>37131</v>
      </c>
      <c r="F25" t="s">
        <v>91</v>
      </c>
      <c r="G25" t="s">
        <v>92</v>
      </c>
      <c r="H25" s="2">
        <v>24500</v>
      </c>
      <c r="I25" t="s">
        <v>22</v>
      </c>
      <c r="J25">
        <v>0</v>
      </c>
      <c r="K25">
        <v>0</v>
      </c>
      <c r="M25">
        <v>0</v>
      </c>
      <c r="N25">
        <v>55000</v>
      </c>
    </row>
    <row r="26" spans="1:14">
      <c r="A26" t="s">
        <v>14</v>
      </c>
      <c r="B26" t="s">
        <v>93</v>
      </c>
      <c r="C26" t="s">
        <v>94</v>
      </c>
      <c r="D26">
        <v>72</v>
      </c>
      <c r="E26" s="1">
        <v>19800</v>
      </c>
      <c r="F26" t="s">
        <v>25</v>
      </c>
      <c r="G26" t="s">
        <v>55</v>
      </c>
      <c r="H26">
        <v>24300</v>
      </c>
      <c r="I26">
        <v>13500</v>
      </c>
      <c r="J26" t="s">
        <v>17</v>
      </c>
      <c r="K26">
        <v>33</v>
      </c>
      <c r="M26" t="s">
        <v>17</v>
      </c>
      <c r="N26">
        <v>14500</v>
      </c>
    </row>
    <row r="27" spans="1:14">
      <c r="A27" t="s">
        <v>28</v>
      </c>
      <c r="B27" t="s">
        <v>95</v>
      </c>
      <c r="C27" t="s">
        <v>96</v>
      </c>
      <c r="D27">
        <v>44</v>
      </c>
      <c r="E27" s="1">
        <v>29948</v>
      </c>
      <c r="F27" t="s">
        <v>34</v>
      </c>
      <c r="G27" t="s">
        <v>34</v>
      </c>
      <c r="I27">
        <v>0</v>
      </c>
      <c r="J27" t="s">
        <v>17</v>
      </c>
      <c r="K27">
        <v>4</v>
      </c>
      <c r="M27" t="s">
        <v>17</v>
      </c>
      <c r="N27">
        <v>80000</v>
      </c>
    </row>
    <row r="28" spans="1:14">
      <c r="A28" t="s">
        <v>14</v>
      </c>
      <c r="B28" t="s">
        <v>97</v>
      </c>
      <c r="C28" t="s">
        <v>98</v>
      </c>
      <c r="D28">
        <v>20</v>
      </c>
      <c r="E28" s="1">
        <v>38957</v>
      </c>
      <c r="F28" t="s">
        <v>99</v>
      </c>
      <c r="G28" t="s">
        <v>41</v>
      </c>
      <c r="H28">
        <v>18200</v>
      </c>
      <c r="J28" t="s">
        <v>17</v>
      </c>
      <c r="K28">
        <v>21</v>
      </c>
      <c r="M28" t="s">
        <v>17</v>
      </c>
      <c r="N28">
        <v>61500</v>
      </c>
    </row>
    <row r="29" spans="1:14">
      <c r="A29" t="s">
        <v>14</v>
      </c>
      <c r="B29" t="s">
        <v>97</v>
      </c>
      <c r="C29" t="s">
        <v>100</v>
      </c>
      <c r="D29">
        <v>66</v>
      </c>
      <c r="E29" s="1">
        <v>22151</v>
      </c>
      <c r="F29" t="s">
        <v>101</v>
      </c>
      <c r="G29" t="s">
        <v>21</v>
      </c>
      <c r="H29">
        <v>11800</v>
      </c>
      <c r="I29" s="2">
        <v>2000</v>
      </c>
      <c r="J29" t="s">
        <v>65</v>
      </c>
      <c r="K29">
        <v>23</v>
      </c>
      <c r="M29" t="s">
        <v>65</v>
      </c>
      <c r="N29">
        <v>72500</v>
      </c>
    </row>
    <row r="30" spans="1:14">
      <c r="A30" t="s">
        <v>14</v>
      </c>
      <c r="B30" t="s">
        <v>102</v>
      </c>
      <c r="C30" t="s">
        <v>103</v>
      </c>
      <c r="D30">
        <v>23</v>
      </c>
      <c r="E30" s="1">
        <v>37785</v>
      </c>
      <c r="F30" t="s">
        <v>104</v>
      </c>
      <c r="G30" t="s">
        <v>105</v>
      </c>
      <c r="H30" s="3">
        <v>17900</v>
      </c>
      <c r="I30">
        <v>28000</v>
      </c>
      <c r="J30" t="s">
        <v>17</v>
      </c>
      <c r="K30">
        <v>41</v>
      </c>
      <c r="M30" t="s">
        <v>17</v>
      </c>
      <c r="N30">
        <v>52500</v>
      </c>
    </row>
    <row r="31" spans="1:14">
      <c r="A31" t="s">
        <v>14</v>
      </c>
      <c r="B31" t="s">
        <v>106</v>
      </c>
      <c r="C31" t="s">
        <v>107</v>
      </c>
      <c r="D31">
        <v>48</v>
      </c>
      <c r="E31" s="1">
        <v>28430</v>
      </c>
      <c r="F31" t="s">
        <v>44</v>
      </c>
      <c r="G31" t="s">
        <v>89</v>
      </c>
      <c r="H31" t="s">
        <v>108</v>
      </c>
      <c r="I31">
        <v>0</v>
      </c>
      <c r="J31" t="s">
        <v>17</v>
      </c>
      <c r="K31">
        <v>3</v>
      </c>
      <c r="M31" t="s">
        <v>17</v>
      </c>
      <c r="N31">
        <v>48500</v>
      </c>
    </row>
    <row r="32" spans="1:14">
      <c r="A32" t="s">
        <v>14</v>
      </c>
      <c r="B32" t="s">
        <v>109</v>
      </c>
      <c r="C32">
        <v>4900</v>
      </c>
      <c r="D32">
        <v>18</v>
      </c>
      <c r="E32" s="1">
        <v>39369</v>
      </c>
      <c r="F32" t="s">
        <v>30</v>
      </c>
      <c r="G32" t="s">
        <v>110</v>
      </c>
      <c r="H32">
        <v>18500</v>
      </c>
      <c r="I32">
        <v>74500</v>
      </c>
      <c r="J32" t="s">
        <v>65</v>
      </c>
      <c r="K32">
        <v>20</v>
      </c>
      <c r="M32" t="s">
        <v>65</v>
      </c>
      <c r="N32">
        <v>45500</v>
      </c>
    </row>
    <row r="33" spans="1:14">
      <c r="A33" t="s">
        <v>14</v>
      </c>
      <c r="B33" t="s">
        <v>111</v>
      </c>
      <c r="C33" t="s">
        <v>112</v>
      </c>
      <c r="D33">
        <v>62</v>
      </c>
      <c r="E33" s="1">
        <v>23488</v>
      </c>
      <c r="F33" t="s">
        <v>51</v>
      </c>
      <c r="G33" t="s">
        <v>52</v>
      </c>
      <c r="H33" t="s">
        <v>113</v>
      </c>
      <c r="I33" t="s">
        <v>22</v>
      </c>
      <c r="J33" t="s">
        <v>17</v>
      </c>
      <c r="K33" t="s">
        <v>114</v>
      </c>
      <c r="M33" t="s">
        <v>17</v>
      </c>
      <c r="N33">
        <v>72000</v>
      </c>
    </row>
    <row r="34" spans="1:14">
      <c r="A34" t="s">
        <v>14</v>
      </c>
      <c r="B34" t="s">
        <v>115</v>
      </c>
      <c r="C34" t="s">
        <v>116</v>
      </c>
      <c r="D34">
        <v>39</v>
      </c>
      <c r="E34" s="1">
        <v>31968</v>
      </c>
      <c r="F34" t="s">
        <v>117</v>
      </c>
      <c r="H34">
        <v>8000</v>
      </c>
      <c r="I34" s="3">
        <v>69000</v>
      </c>
      <c r="J34" t="s">
        <v>17</v>
      </c>
      <c r="K34">
        <v>15</v>
      </c>
      <c r="M34" t="s">
        <v>17</v>
      </c>
      <c r="N34">
        <v>39500</v>
      </c>
    </row>
    <row r="35" spans="1:14">
      <c r="A35" t="s">
        <v>28</v>
      </c>
      <c r="B35" t="s">
        <v>118</v>
      </c>
      <c r="C35" t="s">
        <v>119</v>
      </c>
      <c r="D35">
        <v>21</v>
      </c>
      <c r="E35" s="1">
        <v>38328</v>
      </c>
      <c r="F35" t="s">
        <v>44</v>
      </c>
      <c r="G35" t="s">
        <v>45</v>
      </c>
      <c r="H35">
        <v>4400</v>
      </c>
      <c r="I35">
        <v>23500</v>
      </c>
      <c r="J35" t="s">
        <v>65</v>
      </c>
      <c r="K35">
        <v>31</v>
      </c>
      <c r="M35" t="s">
        <v>65</v>
      </c>
      <c r="N35">
        <v>91000</v>
      </c>
    </row>
    <row r="36" spans="1:14">
      <c r="A36" t="s">
        <v>14</v>
      </c>
      <c r="B36" t="s">
        <v>120</v>
      </c>
      <c r="C36" t="s">
        <v>121</v>
      </c>
      <c r="D36">
        <v>53</v>
      </c>
      <c r="E36" s="1">
        <v>26790</v>
      </c>
      <c r="F36" t="s">
        <v>62</v>
      </c>
      <c r="G36" t="s">
        <v>31</v>
      </c>
      <c r="H36" t="s">
        <v>113</v>
      </c>
      <c r="I36" s="2">
        <v>21500</v>
      </c>
      <c r="J36" t="s">
        <v>65</v>
      </c>
      <c r="K36">
        <v>44</v>
      </c>
      <c r="M36" t="s">
        <v>65</v>
      </c>
      <c r="N36">
        <v>3500</v>
      </c>
    </row>
    <row r="37" spans="1:14">
      <c r="A37" t="s">
        <v>14</v>
      </c>
      <c r="B37" t="s">
        <v>122</v>
      </c>
      <c r="C37">
        <v>13200</v>
      </c>
      <c r="D37">
        <v>29</v>
      </c>
      <c r="E37" s="1">
        <v>35334</v>
      </c>
      <c r="F37" t="s">
        <v>44</v>
      </c>
      <c r="G37" t="s">
        <v>79</v>
      </c>
      <c r="H37">
        <v>19500</v>
      </c>
      <c r="I37" s="2">
        <v>57000</v>
      </c>
      <c r="J37" t="s">
        <v>17</v>
      </c>
      <c r="K37">
        <v>12</v>
      </c>
      <c r="M37" t="s">
        <v>17</v>
      </c>
      <c r="N37">
        <v>20500</v>
      </c>
    </row>
    <row r="38" spans="1:14">
      <c r="A38" t="s">
        <v>14</v>
      </c>
      <c r="B38" t="s">
        <v>123</v>
      </c>
      <c r="C38" t="s">
        <v>124</v>
      </c>
      <c r="D38">
        <v>42</v>
      </c>
      <c r="E38" s="1">
        <v>30878</v>
      </c>
      <c r="F38" t="s">
        <v>44</v>
      </c>
      <c r="G38" t="s">
        <v>79</v>
      </c>
      <c r="H38">
        <v>17500</v>
      </c>
      <c r="I38">
        <v>3500</v>
      </c>
      <c r="J38" t="s">
        <v>125</v>
      </c>
      <c r="K38">
        <v>25</v>
      </c>
      <c r="M38" t="s">
        <v>125</v>
      </c>
      <c r="N38">
        <v>35000</v>
      </c>
    </row>
    <row r="39" spans="1:14">
      <c r="A39" t="s">
        <v>14</v>
      </c>
      <c r="B39" t="s">
        <v>126</v>
      </c>
      <c r="C39" t="s">
        <v>127</v>
      </c>
      <c r="D39">
        <v>62</v>
      </c>
      <c r="E39" s="1">
        <v>23337</v>
      </c>
      <c r="F39" t="s">
        <v>69</v>
      </c>
      <c r="G39" t="s">
        <v>70</v>
      </c>
      <c r="H39">
        <v>11900</v>
      </c>
      <c r="I39" s="3">
        <v>58500</v>
      </c>
      <c r="J39" t="s">
        <v>17</v>
      </c>
      <c r="K39">
        <v>37</v>
      </c>
      <c r="M39" t="s">
        <v>17</v>
      </c>
      <c r="N39">
        <v>48000</v>
      </c>
    </row>
    <row r="40" spans="1:14">
      <c r="A40" t="s">
        <v>14</v>
      </c>
      <c r="B40" t="s">
        <v>128</v>
      </c>
      <c r="C40" t="s">
        <v>129</v>
      </c>
      <c r="D40">
        <v>39</v>
      </c>
      <c r="E40" s="1">
        <v>31814</v>
      </c>
      <c r="F40" t="s">
        <v>75</v>
      </c>
      <c r="G40" t="s">
        <v>41</v>
      </c>
      <c r="H40" s="2">
        <v>9300</v>
      </c>
      <c r="I40" s="2">
        <v>36500</v>
      </c>
      <c r="J40" t="s">
        <v>17</v>
      </c>
      <c r="M40" t="s">
        <v>17</v>
      </c>
      <c r="N40">
        <v>3000</v>
      </c>
    </row>
    <row r="41" spans="1:14">
      <c r="A41" t="s">
        <v>14</v>
      </c>
      <c r="B41" t="s">
        <v>130</v>
      </c>
      <c r="C41" t="s">
        <v>131</v>
      </c>
      <c r="D41">
        <v>67</v>
      </c>
      <c r="E41" s="1">
        <v>21522</v>
      </c>
      <c r="F41" t="s">
        <v>37</v>
      </c>
      <c r="G41" t="s">
        <v>132</v>
      </c>
      <c r="H41">
        <v>11300</v>
      </c>
      <c r="I41">
        <v>49500</v>
      </c>
      <c r="J41" t="s">
        <v>17</v>
      </c>
      <c r="K41">
        <v>12</v>
      </c>
      <c r="M41" t="s">
        <v>17</v>
      </c>
      <c r="N41">
        <v>34500</v>
      </c>
    </row>
    <row r="42" spans="1:14">
      <c r="A42" t="s">
        <v>14</v>
      </c>
      <c r="B42" t="s">
        <v>133</v>
      </c>
      <c r="C42" t="s">
        <v>134</v>
      </c>
      <c r="D42">
        <v>23</v>
      </c>
      <c r="E42" s="1">
        <v>37530</v>
      </c>
      <c r="F42" t="s">
        <v>135</v>
      </c>
      <c r="H42">
        <v>10700</v>
      </c>
      <c r="I42">
        <v>15000</v>
      </c>
      <c r="J42" t="s">
        <v>17</v>
      </c>
      <c r="K42">
        <v>42</v>
      </c>
      <c r="M42" t="s">
        <v>17</v>
      </c>
      <c r="N42">
        <v>81500</v>
      </c>
    </row>
    <row r="43" spans="1:14">
      <c r="A43" t="s">
        <v>14</v>
      </c>
      <c r="B43" t="s">
        <v>136</v>
      </c>
      <c r="C43" t="s">
        <v>137</v>
      </c>
      <c r="D43">
        <v>53</v>
      </c>
      <c r="E43" s="1">
        <v>26840</v>
      </c>
      <c r="F43" t="s">
        <v>117</v>
      </c>
      <c r="H43">
        <v>9500</v>
      </c>
      <c r="I43" s="3">
        <v>66500</v>
      </c>
      <c r="J43" t="s">
        <v>65</v>
      </c>
      <c r="K43">
        <v>38</v>
      </c>
      <c r="M43" t="s">
        <v>65</v>
      </c>
      <c r="N43">
        <v>42500</v>
      </c>
    </row>
    <row r="44" spans="1:14">
      <c r="A44" t="s">
        <v>76</v>
      </c>
      <c r="B44" t="s">
        <v>138</v>
      </c>
      <c r="C44" t="s">
        <v>139</v>
      </c>
      <c r="D44">
        <v>28</v>
      </c>
      <c r="E44" s="1">
        <v>35830</v>
      </c>
      <c r="F44" t="s">
        <v>91</v>
      </c>
      <c r="G44" t="s">
        <v>92</v>
      </c>
      <c r="H44" t="s">
        <v>140</v>
      </c>
      <c r="I44" s="2">
        <v>19000</v>
      </c>
      <c r="J44" t="s">
        <v>65</v>
      </c>
      <c r="K44">
        <v>4</v>
      </c>
      <c r="M44" t="s">
        <v>65</v>
      </c>
      <c r="N44">
        <v>32500</v>
      </c>
    </row>
    <row r="45" spans="1:14">
      <c r="A45" t="s">
        <v>14</v>
      </c>
      <c r="B45" t="s">
        <v>138</v>
      </c>
      <c r="C45" t="s">
        <v>141</v>
      </c>
      <c r="D45">
        <v>29</v>
      </c>
      <c r="E45" s="1">
        <v>35472</v>
      </c>
      <c r="F45" t="s">
        <v>142</v>
      </c>
      <c r="H45">
        <v>11900</v>
      </c>
      <c r="I45">
        <v>65000</v>
      </c>
      <c r="J45" t="s">
        <v>65</v>
      </c>
      <c r="K45">
        <v>29</v>
      </c>
      <c r="M45" t="s">
        <v>65</v>
      </c>
      <c r="N45">
        <v>12000</v>
      </c>
    </row>
    <row r="46" spans="1:14">
      <c r="A46" t="s">
        <v>28</v>
      </c>
      <c r="B46" t="s">
        <v>143</v>
      </c>
      <c r="C46" t="s">
        <v>144</v>
      </c>
      <c r="D46">
        <v>68</v>
      </c>
      <c r="E46" s="1">
        <v>21293</v>
      </c>
      <c r="F46" t="s">
        <v>44</v>
      </c>
      <c r="G46" t="s">
        <v>79</v>
      </c>
      <c r="H46">
        <v>3800</v>
      </c>
      <c r="I46">
        <v>70000</v>
      </c>
      <c r="J46" t="s">
        <v>65</v>
      </c>
      <c r="K46">
        <v>34</v>
      </c>
      <c r="M46" t="s">
        <v>65</v>
      </c>
      <c r="N46">
        <v>7500</v>
      </c>
    </row>
    <row r="47" spans="1:14">
      <c r="A47" t="s">
        <v>14</v>
      </c>
      <c r="B47" t="s">
        <v>145</v>
      </c>
      <c r="C47">
        <v>10800</v>
      </c>
      <c r="D47">
        <v>39</v>
      </c>
      <c r="E47" s="1">
        <v>31766</v>
      </c>
      <c r="F47" t="s">
        <v>101</v>
      </c>
      <c r="G47" t="s">
        <v>146</v>
      </c>
      <c r="H47">
        <v>24700</v>
      </c>
      <c r="I47" t="s">
        <v>147</v>
      </c>
      <c r="J47" t="s">
        <v>17</v>
      </c>
      <c r="K47">
        <v>43</v>
      </c>
      <c r="M47" t="s">
        <v>17</v>
      </c>
      <c r="N47">
        <v>57000</v>
      </c>
    </row>
    <row r="48" spans="1:14">
      <c r="A48" t="s">
        <v>14</v>
      </c>
      <c r="B48" t="s">
        <v>148</v>
      </c>
      <c r="C48" t="s">
        <v>149</v>
      </c>
      <c r="D48">
        <v>59</v>
      </c>
      <c r="E48" s="1">
        <v>24578</v>
      </c>
      <c r="F48" t="s">
        <v>150</v>
      </c>
      <c r="H48">
        <v>6600</v>
      </c>
      <c r="I48">
        <v>50000</v>
      </c>
      <c r="J48" t="s">
        <v>65</v>
      </c>
      <c r="K48">
        <v>9</v>
      </c>
      <c r="M48" t="s">
        <v>65</v>
      </c>
      <c r="N48">
        <v>25000</v>
      </c>
    </row>
    <row r="49" spans="1:14">
      <c r="A49" t="s">
        <v>14</v>
      </c>
      <c r="B49" t="s">
        <v>151</v>
      </c>
      <c r="C49" t="s">
        <v>152</v>
      </c>
      <c r="D49">
        <v>44</v>
      </c>
      <c r="E49" s="1">
        <v>29975</v>
      </c>
      <c r="F49" t="s">
        <v>91</v>
      </c>
      <c r="G49" t="s">
        <v>153</v>
      </c>
      <c r="H49">
        <v>5300</v>
      </c>
      <c r="I49">
        <v>6000</v>
      </c>
      <c r="J49" t="s">
        <v>65</v>
      </c>
      <c r="K49">
        <v>1</v>
      </c>
      <c r="M49" t="s">
        <v>65</v>
      </c>
      <c r="N49">
        <v>4500</v>
      </c>
    </row>
    <row r="50" spans="1:14">
      <c r="A50" t="s">
        <v>28</v>
      </c>
      <c r="B50" t="s">
        <v>154</v>
      </c>
      <c r="C50">
        <v>32500</v>
      </c>
      <c r="D50">
        <v>48</v>
      </c>
      <c r="E50" s="1">
        <v>28446</v>
      </c>
      <c r="F50" t="s">
        <v>69</v>
      </c>
      <c r="G50" t="s">
        <v>86</v>
      </c>
      <c r="H50">
        <v>6900</v>
      </c>
      <c r="I50">
        <v>52500</v>
      </c>
      <c r="J50" t="s">
        <v>65</v>
      </c>
      <c r="K50">
        <v>0</v>
      </c>
      <c r="M50" t="s">
        <v>65</v>
      </c>
      <c r="N50">
        <v>66000</v>
      </c>
    </row>
    <row r="51" spans="1:14">
      <c r="A51" t="s">
        <v>14</v>
      </c>
      <c r="B51" t="s">
        <v>155</v>
      </c>
      <c r="C51" t="s">
        <v>156</v>
      </c>
      <c r="D51">
        <v>43</v>
      </c>
      <c r="E51" s="1">
        <v>30309</v>
      </c>
      <c r="F51" t="s">
        <v>150</v>
      </c>
      <c r="G51" t="s">
        <v>157</v>
      </c>
      <c r="H51" s="2">
        <v>18400</v>
      </c>
      <c r="I51">
        <v>62000</v>
      </c>
      <c r="J51" t="s">
        <v>17</v>
      </c>
      <c r="K51">
        <v>33</v>
      </c>
      <c r="M51" t="s">
        <v>17</v>
      </c>
      <c r="N51">
        <v>31000</v>
      </c>
    </row>
    <row r="52" spans="1:14">
      <c r="A52" t="s">
        <v>14</v>
      </c>
      <c r="B52" t="s">
        <v>158</v>
      </c>
      <c r="C52" t="s">
        <v>159</v>
      </c>
      <c r="D52">
        <v>26</v>
      </c>
      <c r="E52" s="1">
        <v>36619</v>
      </c>
      <c r="F52" t="s">
        <v>160</v>
      </c>
      <c r="G52" t="s">
        <v>55</v>
      </c>
      <c r="H52" t="s">
        <v>161</v>
      </c>
      <c r="I52">
        <v>42500</v>
      </c>
      <c r="J52" t="s">
        <v>65</v>
      </c>
      <c r="K52">
        <v>29</v>
      </c>
      <c r="M52" t="s">
        <v>65</v>
      </c>
      <c r="N52">
        <v>66000</v>
      </c>
    </row>
    <row r="53" spans="1:14">
      <c r="A53" t="s">
        <v>14</v>
      </c>
      <c r="B53" t="s">
        <v>162</v>
      </c>
      <c r="C53">
        <v>29500</v>
      </c>
      <c r="D53">
        <v>68</v>
      </c>
      <c r="E53" s="1">
        <v>21079</v>
      </c>
      <c r="F53" t="s">
        <v>150</v>
      </c>
      <c r="G53" t="s">
        <v>163</v>
      </c>
      <c r="H53" t="s">
        <v>164</v>
      </c>
      <c r="I53">
        <v>64500</v>
      </c>
      <c r="J53" t="s">
        <v>65</v>
      </c>
      <c r="K53">
        <v>32</v>
      </c>
      <c r="M53" t="s">
        <v>65</v>
      </c>
      <c r="N53">
        <v>35500</v>
      </c>
    </row>
    <row r="54" spans="1:14">
      <c r="A54" t="s">
        <v>14</v>
      </c>
      <c r="B54" t="s">
        <v>165</v>
      </c>
      <c r="C54" t="s">
        <v>166</v>
      </c>
      <c r="D54">
        <v>49</v>
      </c>
      <c r="E54" s="1">
        <v>28136</v>
      </c>
      <c r="F54" t="s">
        <v>20</v>
      </c>
      <c r="G54" t="s">
        <v>146</v>
      </c>
      <c r="H54">
        <v>20300</v>
      </c>
      <c r="I54" s="3">
        <v>12000</v>
      </c>
      <c r="J54" t="s">
        <v>65</v>
      </c>
      <c r="K54">
        <v>27</v>
      </c>
      <c r="M54" t="s">
        <v>65</v>
      </c>
      <c r="N54">
        <v>67500</v>
      </c>
    </row>
    <row r="55" spans="1:14">
      <c r="A55" t="s">
        <v>14</v>
      </c>
      <c r="B55" t="s">
        <v>167</v>
      </c>
      <c r="C55" t="s">
        <v>168</v>
      </c>
      <c r="D55">
        <v>35</v>
      </c>
      <c r="F55" t="s">
        <v>101</v>
      </c>
      <c r="G55" t="s">
        <v>21</v>
      </c>
      <c r="H55">
        <v>28000</v>
      </c>
      <c r="I55" t="s">
        <v>169</v>
      </c>
      <c r="J55" t="s">
        <v>17</v>
      </c>
      <c r="K55">
        <v>39</v>
      </c>
      <c r="M55" t="s">
        <v>17</v>
      </c>
      <c r="N55">
        <v>32000</v>
      </c>
    </row>
    <row r="56" spans="1:14">
      <c r="A56" t="s">
        <v>28</v>
      </c>
      <c r="B56" t="s">
        <v>170</v>
      </c>
      <c r="C56" t="s">
        <v>171</v>
      </c>
      <c r="D56">
        <v>69</v>
      </c>
      <c r="E56" s="1">
        <v>20785</v>
      </c>
      <c r="F56" t="s">
        <v>40</v>
      </c>
      <c r="G56" t="s">
        <v>172</v>
      </c>
      <c r="H56">
        <v>16000</v>
      </c>
      <c r="I56" s="2">
        <v>48000</v>
      </c>
      <c r="J56" t="s">
        <v>17</v>
      </c>
      <c r="K56">
        <v>29</v>
      </c>
      <c r="M56" t="s">
        <v>17</v>
      </c>
      <c r="N56">
        <v>74500</v>
      </c>
    </row>
    <row r="57" spans="1:14">
      <c r="A57" t="s">
        <v>14</v>
      </c>
      <c r="B57" t="s">
        <v>173</v>
      </c>
      <c r="C57">
        <v>36900</v>
      </c>
      <c r="D57">
        <v>61</v>
      </c>
      <c r="E57" s="1">
        <v>23928</v>
      </c>
      <c r="F57" t="s">
        <v>37</v>
      </c>
      <c r="G57" t="s">
        <v>38</v>
      </c>
      <c r="H57">
        <v>22900</v>
      </c>
      <c r="I57">
        <v>7500</v>
      </c>
      <c r="J57" t="s">
        <v>17</v>
      </c>
      <c r="K57">
        <v>12</v>
      </c>
      <c r="M57" t="s">
        <v>17</v>
      </c>
      <c r="N57">
        <v>73000</v>
      </c>
    </row>
    <row r="58" spans="1:14">
      <c r="A58" t="s">
        <v>14</v>
      </c>
      <c r="B58" t="s">
        <v>173</v>
      </c>
      <c r="C58">
        <v>36900</v>
      </c>
      <c r="D58">
        <v>61</v>
      </c>
      <c r="E58" s="1">
        <v>23928</v>
      </c>
      <c r="F58" t="s">
        <v>37</v>
      </c>
      <c r="G58" t="s">
        <v>38</v>
      </c>
      <c r="H58">
        <v>22900</v>
      </c>
      <c r="I58">
        <v>7500</v>
      </c>
      <c r="J58" t="s">
        <v>17</v>
      </c>
      <c r="K58">
        <v>12</v>
      </c>
      <c r="M58" t="s">
        <v>17</v>
      </c>
      <c r="N58">
        <v>33000</v>
      </c>
    </row>
    <row r="59" spans="1:14">
      <c r="A59" t="s">
        <v>14</v>
      </c>
      <c r="B59" t="s">
        <v>174</v>
      </c>
      <c r="C59" t="s">
        <v>175</v>
      </c>
      <c r="D59">
        <v>30</v>
      </c>
      <c r="E59" s="1">
        <v>35180</v>
      </c>
      <c r="F59" t="s">
        <v>75</v>
      </c>
      <c r="G59" t="s">
        <v>41</v>
      </c>
      <c r="H59" s="2">
        <v>13800</v>
      </c>
      <c r="I59">
        <v>42000</v>
      </c>
      <c r="K59">
        <v>29</v>
      </c>
      <c r="N59">
        <v>7000</v>
      </c>
    </row>
    <row r="60" spans="1:14">
      <c r="B60" t="s">
        <v>176</v>
      </c>
      <c r="C60" t="s">
        <v>177</v>
      </c>
      <c r="D60">
        <v>56</v>
      </c>
      <c r="E60" s="1">
        <v>25705</v>
      </c>
      <c r="F60" t="s">
        <v>104</v>
      </c>
      <c r="G60" t="s">
        <v>70</v>
      </c>
      <c r="H60" s="2">
        <v>11100</v>
      </c>
      <c r="I60" s="2">
        <v>13000</v>
      </c>
      <c r="J60" t="s">
        <v>17</v>
      </c>
      <c r="K60">
        <v>38</v>
      </c>
      <c r="M60" t="s">
        <v>17</v>
      </c>
      <c r="N60">
        <v>88000</v>
      </c>
    </row>
    <row r="61" spans="1:14">
      <c r="A61" t="s">
        <v>14</v>
      </c>
      <c r="B61" t="s">
        <v>178</v>
      </c>
      <c r="C61" t="s">
        <v>179</v>
      </c>
      <c r="D61">
        <v>68</v>
      </c>
      <c r="E61" s="1">
        <v>21145</v>
      </c>
      <c r="F61" t="s">
        <v>180</v>
      </c>
      <c r="G61" t="s">
        <v>38</v>
      </c>
      <c r="H61">
        <v>24500</v>
      </c>
      <c r="I61">
        <v>16500</v>
      </c>
      <c r="J61" t="s">
        <v>17</v>
      </c>
      <c r="K61">
        <v>22</v>
      </c>
      <c r="M61" t="s">
        <v>17</v>
      </c>
      <c r="N61">
        <v>34500</v>
      </c>
    </row>
    <row r="62" spans="1:14">
      <c r="A62" t="s">
        <v>14</v>
      </c>
      <c r="B62" t="s">
        <v>181</v>
      </c>
      <c r="C62" t="s">
        <v>182</v>
      </c>
      <c r="D62">
        <v>60</v>
      </c>
      <c r="E62" s="1">
        <v>24082</v>
      </c>
      <c r="F62" t="s">
        <v>150</v>
      </c>
      <c r="G62" t="s">
        <v>157</v>
      </c>
      <c r="H62" s="3">
        <v>13800</v>
      </c>
      <c r="I62">
        <v>45500</v>
      </c>
      <c r="J62" t="s">
        <v>17</v>
      </c>
      <c r="K62">
        <v>30</v>
      </c>
      <c r="M62" t="s">
        <v>17</v>
      </c>
      <c r="N62">
        <v>17500</v>
      </c>
    </row>
    <row r="63" spans="1:14">
      <c r="A63" t="s">
        <v>14</v>
      </c>
      <c r="B63" t="s">
        <v>183</v>
      </c>
      <c r="C63" t="s">
        <v>184</v>
      </c>
      <c r="D63">
        <v>33</v>
      </c>
      <c r="E63" s="1">
        <v>34070</v>
      </c>
      <c r="F63" t="s">
        <v>37</v>
      </c>
      <c r="G63" t="s">
        <v>185</v>
      </c>
      <c r="H63">
        <v>29300</v>
      </c>
      <c r="I63">
        <v>69000</v>
      </c>
      <c r="J63" t="s">
        <v>65</v>
      </c>
      <c r="K63">
        <v>0</v>
      </c>
      <c r="M63" t="s">
        <v>65</v>
      </c>
      <c r="N63">
        <v>4500</v>
      </c>
    </row>
    <row r="64" spans="1:14">
      <c r="A64" t="s">
        <v>14</v>
      </c>
      <c r="B64" t="s">
        <v>186</v>
      </c>
      <c r="C64" t="s">
        <v>187</v>
      </c>
      <c r="D64">
        <v>63</v>
      </c>
      <c r="E64" s="1">
        <v>23006</v>
      </c>
      <c r="F64" t="s">
        <v>188</v>
      </c>
      <c r="H64">
        <v>11200</v>
      </c>
      <c r="K64">
        <v>41</v>
      </c>
      <c r="N64">
        <v>83500</v>
      </c>
    </row>
    <row r="65" spans="1:14">
      <c r="A65" t="s">
        <v>14</v>
      </c>
      <c r="B65" t="s">
        <v>189</v>
      </c>
      <c r="C65">
        <v>16300</v>
      </c>
      <c r="D65" t="s">
        <v>190</v>
      </c>
      <c r="E65" s="1">
        <v>36255</v>
      </c>
      <c r="F65" t="s">
        <v>40</v>
      </c>
      <c r="G65" t="s">
        <v>41</v>
      </c>
      <c r="H65">
        <v>14000</v>
      </c>
      <c r="I65">
        <v>63500</v>
      </c>
      <c r="J65" t="s">
        <v>17</v>
      </c>
      <c r="K65">
        <v>24</v>
      </c>
      <c r="M65" t="s">
        <v>17</v>
      </c>
      <c r="N65">
        <v>87000</v>
      </c>
    </row>
    <row r="66" spans="1:14">
      <c r="A66" t="s">
        <v>14</v>
      </c>
      <c r="B66" t="s">
        <v>191</v>
      </c>
      <c r="C66">
        <v>9900</v>
      </c>
      <c r="D66">
        <v>64</v>
      </c>
      <c r="E66" s="1">
        <v>22828</v>
      </c>
      <c r="F66" t="s">
        <v>160</v>
      </c>
      <c r="G66" t="s">
        <v>192</v>
      </c>
      <c r="H66" s="2">
        <v>2900</v>
      </c>
      <c r="I66" s="2">
        <v>76000</v>
      </c>
      <c r="J66" t="s">
        <v>17</v>
      </c>
      <c r="K66">
        <v>32</v>
      </c>
      <c r="M66" t="s">
        <v>17</v>
      </c>
      <c r="N66">
        <v>72500</v>
      </c>
    </row>
    <row r="67" spans="1:14">
      <c r="A67" t="s">
        <v>14</v>
      </c>
      <c r="B67" t="s">
        <v>193</v>
      </c>
      <c r="C67">
        <v>35800</v>
      </c>
      <c r="D67">
        <v>70</v>
      </c>
      <c r="E67" s="1">
        <v>20515</v>
      </c>
      <c r="F67" t="s">
        <v>62</v>
      </c>
      <c r="G67" t="s">
        <v>31</v>
      </c>
      <c r="H67" t="s">
        <v>194</v>
      </c>
      <c r="I67">
        <v>62000</v>
      </c>
      <c r="J67" t="s">
        <v>65</v>
      </c>
      <c r="K67">
        <v>45</v>
      </c>
      <c r="M67" t="s">
        <v>65</v>
      </c>
      <c r="N67">
        <v>35500</v>
      </c>
    </row>
    <row r="68" spans="1:14">
      <c r="A68" t="s">
        <v>195</v>
      </c>
      <c r="B68" t="s">
        <v>196</v>
      </c>
      <c r="C68" t="s">
        <v>197</v>
      </c>
      <c r="D68">
        <v>38</v>
      </c>
      <c r="E68" s="1">
        <v>32166</v>
      </c>
      <c r="F68" t="s">
        <v>40</v>
      </c>
      <c r="G68" t="s">
        <v>198</v>
      </c>
      <c r="H68" t="s">
        <v>194</v>
      </c>
      <c r="I68">
        <v>39000</v>
      </c>
      <c r="J68" t="s">
        <v>17</v>
      </c>
      <c r="K68">
        <v>25</v>
      </c>
      <c r="M68" t="s">
        <v>17</v>
      </c>
      <c r="N68">
        <v>88500</v>
      </c>
    </row>
    <row r="69" spans="1:14">
      <c r="A69" t="s">
        <v>28</v>
      </c>
      <c r="B69" t="s">
        <v>199</v>
      </c>
      <c r="C69" t="s">
        <v>200</v>
      </c>
      <c r="D69">
        <v>57</v>
      </c>
      <c r="E69" s="1">
        <v>25324</v>
      </c>
      <c r="F69" t="s">
        <v>75</v>
      </c>
      <c r="G69" t="s">
        <v>172</v>
      </c>
      <c r="H69">
        <v>9500</v>
      </c>
      <c r="I69">
        <v>58000</v>
      </c>
      <c r="J69" t="s">
        <v>125</v>
      </c>
      <c r="K69">
        <v>23</v>
      </c>
      <c r="M69" t="s">
        <v>125</v>
      </c>
      <c r="N69">
        <v>81500</v>
      </c>
    </row>
    <row r="70" spans="1:14">
      <c r="A70" t="s">
        <v>14</v>
      </c>
      <c r="B70" t="s">
        <v>201</v>
      </c>
      <c r="C70" t="s">
        <v>202</v>
      </c>
      <c r="D70">
        <v>24</v>
      </c>
      <c r="E70" s="1">
        <v>37259</v>
      </c>
      <c r="F70" t="s">
        <v>34</v>
      </c>
      <c r="G70" t="s">
        <v>34</v>
      </c>
      <c r="H70">
        <v>25200</v>
      </c>
      <c r="I70">
        <v>0</v>
      </c>
      <c r="J70" t="s">
        <v>17</v>
      </c>
      <c r="K70">
        <v>10</v>
      </c>
      <c r="M70" t="s">
        <v>17</v>
      </c>
      <c r="N70">
        <v>69500</v>
      </c>
    </row>
    <row r="71" spans="1:14">
      <c r="A71" t="s">
        <v>28</v>
      </c>
      <c r="B71" t="s">
        <v>203</v>
      </c>
      <c r="C71" t="s">
        <v>204</v>
      </c>
      <c r="D71">
        <v>49</v>
      </c>
      <c r="E71" s="1">
        <v>28286</v>
      </c>
      <c r="F71" t="s">
        <v>44</v>
      </c>
      <c r="G71" t="s">
        <v>89</v>
      </c>
      <c r="H71">
        <v>21900</v>
      </c>
      <c r="I71">
        <v>69000</v>
      </c>
      <c r="J71" t="s">
        <v>17</v>
      </c>
      <c r="K71" t="s">
        <v>205</v>
      </c>
      <c r="M71" t="s">
        <v>17</v>
      </c>
      <c r="N71">
        <v>80500</v>
      </c>
    </row>
    <row r="72" spans="1:14">
      <c r="A72" t="s">
        <v>14</v>
      </c>
      <c r="B72" t="s">
        <v>206</v>
      </c>
      <c r="C72" t="s">
        <v>207</v>
      </c>
      <c r="D72">
        <v>47</v>
      </c>
      <c r="E72" s="1">
        <v>28841</v>
      </c>
      <c r="F72" t="s">
        <v>34</v>
      </c>
      <c r="G72" t="s">
        <v>34</v>
      </c>
      <c r="H72" t="s">
        <v>208</v>
      </c>
      <c r="I72" s="3">
        <v>62000</v>
      </c>
      <c r="J72" t="s">
        <v>65</v>
      </c>
      <c r="K72">
        <v>37</v>
      </c>
      <c r="M72" t="s">
        <v>65</v>
      </c>
      <c r="N72">
        <v>92500</v>
      </c>
    </row>
    <row r="73" spans="1:14">
      <c r="A73" t="s">
        <v>14</v>
      </c>
      <c r="B73" t="s">
        <v>209</v>
      </c>
      <c r="C73" t="s">
        <v>210</v>
      </c>
      <c r="D73">
        <v>25</v>
      </c>
      <c r="E73" s="1">
        <v>37091</v>
      </c>
      <c r="F73" t="s">
        <v>51</v>
      </c>
      <c r="G73" t="s">
        <v>52</v>
      </c>
      <c r="H73" s="3">
        <v>28800</v>
      </c>
      <c r="J73" t="s">
        <v>17</v>
      </c>
      <c r="K73">
        <v>12</v>
      </c>
      <c r="M73" t="s">
        <v>17</v>
      </c>
      <c r="N73">
        <v>46500</v>
      </c>
    </row>
    <row r="74" spans="1:14">
      <c r="A74" t="s">
        <v>28</v>
      </c>
      <c r="B74" t="s">
        <v>211</v>
      </c>
      <c r="C74">
        <v>20300</v>
      </c>
      <c r="D74">
        <v>46</v>
      </c>
      <c r="E74" s="1">
        <v>29427</v>
      </c>
      <c r="F74" t="s">
        <v>160</v>
      </c>
      <c r="G74" t="s">
        <v>192</v>
      </c>
      <c r="I74">
        <v>37500</v>
      </c>
      <c r="J74" t="s">
        <v>17</v>
      </c>
      <c r="M74" t="s">
        <v>17</v>
      </c>
      <c r="N74">
        <v>77000</v>
      </c>
    </row>
    <row r="75" spans="1:14">
      <c r="A75" t="s">
        <v>28</v>
      </c>
      <c r="B75" t="s">
        <v>211</v>
      </c>
      <c r="C75">
        <v>20300</v>
      </c>
      <c r="D75">
        <v>46</v>
      </c>
      <c r="E75" s="1">
        <v>29427</v>
      </c>
      <c r="F75" t="s">
        <v>160</v>
      </c>
      <c r="G75" t="s">
        <v>192</v>
      </c>
      <c r="I75">
        <v>37500</v>
      </c>
      <c r="J75" t="s">
        <v>17</v>
      </c>
      <c r="M75" t="s">
        <v>17</v>
      </c>
      <c r="N75">
        <v>21500</v>
      </c>
    </row>
    <row r="76" spans="1:14">
      <c r="A76" t="s">
        <v>14</v>
      </c>
      <c r="B76" t="s">
        <v>211</v>
      </c>
      <c r="C76" t="s">
        <v>212</v>
      </c>
      <c r="D76">
        <v>52</v>
      </c>
      <c r="E76" s="1">
        <v>26921</v>
      </c>
      <c r="F76" t="s">
        <v>75</v>
      </c>
      <c r="G76" t="s">
        <v>41</v>
      </c>
      <c r="H76">
        <v>7300</v>
      </c>
      <c r="I76" t="s">
        <v>213</v>
      </c>
      <c r="J76" t="s">
        <v>17</v>
      </c>
      <c r="K76">
        <v>40</v>
      </c>
      <c r="M76" t="s">
        <v>17</v>
      </c>
      <c r="N76">
        <v>34500</v>
      </c>
    </row>
    <row r="77" spans="1:14">
      <c r="A77" t="s">
        <v>14</v>
      </c>
      <c r="B77" t="s">
        <v>214</v>
      </c>
      <c r="C77" t="s">
        <v>215</v>
      </c>
      <c r="D77">
        <v>62</v>
      </c>
      <c r="F77" t="s">
        <v>20</v>
      </c>
      <c r="G77" t="s">
        <v>21</v>
      </c>
      <c r="H77">
        <v>1900</v>
      </c>
      <c r="I77">
        <v>3500</v>
      </c>
      <c r="J77" t="s">
        <v>17</v>
      </c>
      <c r="K77">
        <v>19</v>
      </c>
      <c r="M77" t="s">
        <v>17</v>
      </c>
      <c r="N77">
        <v>62000</v>
      </c>
    </row>
    <row r="78" spans="1:14">
      <c r="A78" t="s">
        <v>14</v>
      </c>
      <c r="B78" t="s">
        <v>216</v>
      </c>
      <c r="C78" t="s">
        <v>217</v>
      </c>
      <c r="D78">
        <v>25</v>
      </c>
      <c r="E78" s="1">
        <v>37026</v>
      </c>
      <c r="F78" t="s">
        <v>37</v>
      </c>
      <c r="G78" t="s">
        <v>38</v>
      </c>
      <c r="H78">
        <v>28200</v>
      </c>
      <c r="I78">
        <v>0</v>
      </c>
      <c r="J78" t="s">
        <v>17</v>
      </c>
      <c r="K78">
        <v>29</v>
      </c>
      <c r="M78" t="s">
        <v>17</v>
      </c>
      <c r="N78">
        <v>92500</v>
      </c>
    </row>
    <row r="79" spans="1:14">
      <c r="A79" t="s">
        <v>28</v>
      </c>
      <c r="B79" t="s">
        <v>218</v>
      </c>
      <c r="C79" t="s">
        <v>219</v>
      </c>
      <c r="D79">
        <v>63</v>
      </c>
      <c r="E79" s="1">
        <v>23119</v>
      </c>
      <c r="F79" t="s">
        <v>51</v>
      </c>
      <c r="G79" t="s">
        <v>220</v>
      </c>
      <c r="H79">
        <v>9300</v>
      </c>
      <c r="I79">
        <v>48500</v>
      </c>
      <c r="J79" t="s">
        <v>17</v>
      </c>
      <c r="K79">
        <v>28</v>
      </c>
      <c r="M79" t="s">
        <v>17</v>
      </c>
      <c r="N79">
        <v>20000</v>
      </c>
    </row>
    <row r="80" spans="1:14">
      <c r="A80" t="s">
        <v>221</v>
      </c>
      <c r="B80" t="s">
        <v>222</v>
      </c>
      <c r="C80">
        <v>17500</v>
      </c>
      <c r="D80">
        <v>60</v>
      </c>
      <c r="E80" s="1">
        <v>24091</v>
      </c>
      <c r="F80" t="s">
        <v>91</v>
      </c>
      <c r="G80" t="s">
        <v>92</v>
      </c>
      <c r="H80">
        <v>10100</v>
      </c>
      <c r="I80">
        <v>55000</v>
      </c>
      <c r="J80" t="s">
        <v>17</v>
      </c>
      <c r="K80">
        <v>26</v>
      </c>
      <c r="M80" t="s">
        <v>17</v>
      </c>
      <c r="N80">
        <v>54000</v>
      </c>
    </row>
    <row r="81" spans="1:14">
      <c r="A81" t="s">
        <v>14</v>
      </c>
      <c r="B81" t="s">
        <v>223</v>
      </c>
      <c r="C81" t="s">
        <v>224</v>
      </c>
      <c r="D81">
        <v>33</v>
      </c>
      <c r="E81" s="1">
        <v>33881</v>
      </c>
      <c r="F81" t="s">
        <v>40</v>
      </c>
      <c r="G81" t="s">
        <v>172</v>
      </c>
      <c r="H81" s="3">
        <v>29700</v>
      </c>
      <c r="I81">
        <v>22000</v>
      </c>
      <c r="J81" t="s">
        <v>17</v>
      </c>
      <c r="K81" t="s">
        <v>114</v>
      </c>
      <c r="M81" t="s">
        <v>17</v>
      </c>
      <c r="N81">
        <v>81000</v>
      </c>
    </row>
    <row r="82" spans="1:14">
      <c r="A82" t="s">
        <v>28</v>
      </c>
      <c r="B82" t="s">
        <v>225</v>
      </c>
      <c r="C82" t="s">
        <v>226</v>
      </c>
      <c r="D82" t="s">
        <v>227</v>
      </c>
      <c r="E82" s="1">
        <v>29113</v>
      </c>
      <c r="F82" t="s">
        <v>99</v>
      </c>
      <c r="G82" t="s">
        <v>41</v>
      </c>
      <c r="H82">
        <v>15000</v>
      </c>
      <c r="I82">
        <v>32500</v>
      </c>
      <c r="J82" t="s">
        <v>17</v>
      </c>
      <c r="K82">
        <v>40</v>
      </c>
      <c r="M82" t="s">
        <v>17</v>
      </c>
      <c r="N82">
        <v>4500</v>
      </c>
    </row>
    <row r="83" spans="1:14">
      <c r="A83" t="s">
        <v>28</v>
      </c>
      <c r="B83" t="s">
        <v>225</v>
      </c>
      <c r="C83" t="s">
        <v>226</v>
      </c>
      <c r="D83" t="s">
        <v>227</v>
      </c>
      <c r="E83" s="1">
        <v>29113</v>
      </c>
      <c r="F83" t="s">
        <v>99</v>
      </c>
      <c r="G83" t="s">
        <v>41</v>
      </c>
      <c r="H83">
        <v>15000</v>
      </c>
      <c r="I83">
        <v>0</v>
      </c>
      <c r="J83" t="s">
        <v>17</v>
      </c>
      <c r="K83">
        <v>40</v>
      </c>
      <c r="M83" t="s">
        <v>17</v>
      </c>
      <c r="N83">
        <v>90500</v>
      </c>
    </row>
    <row r="84" spans="1:14">
      <c r="A84" t="s">
        <v>14</v>
      </c>
      <c r="B84" t="s">
        <v>228</v>
      </c>
      <c r="C84" t="s">
        <v>229</v>
      </c>
      <c r="D84">
        <v>32</v>
      </c>
      <c r="E84" s="1">
        <v>34508</v>
      </c>
      <c r="F84" t="s">
        <v>34</v>
      </c>
      <c r="G84" t="s">
        <v>34</v>
      </c>
      <c r="H84">
        <v>9800</v>
      </c>
      <c r="I84">
        <v>0</v>
      </c>
      <c r="J84" t="s">
        <v>17</v>
      </c>
      <c r="K84">
        <v>23</v>
      </c>
      <c r="M84" t="s">
        <v>17</v>
      </c>
      <c r="N84">
        <v>68000</v>
      </c>
    </row>
    <row r="85" spans="1:14">
      <c r="A85" t="s">
        <v>230</v>
      </c>
      <c r="B85" t="s">
        <v>231</v>
      </c>
      <c r="C85" t="s">
        <v>232</v>
      </c>
      <c r="D85">
        <v>51</v>
      </c>
      <c r="E85" s="1">
        <v>27377</v>
      </c>
      <c r="F85" t="s">
        <v>44</v>
      </c>
      <c r="G85" t="s">
        <v>89</v>
      </c>
      <c r="H85">
        <v>16300</v>
      </c>
      <c r="J85" t="s">
        <v>125</v>
      </c>
      <c r="K85">
        <v>8</v>
      </c>
      <c r="M85" t="s">
        <v>125</v>
      </c>
      <c r="N85">
        <v>33000</v>
      </c>
    </row>
    <row r="86" spans="1:14">
      <c r="A86" t="s">
        <v>14</v>
      </c>
      <c r="B86" t="s">
        <v>233</v>
      </c>
      <c r="C86" t="s">
        <v>234</v>
      </c>
      <c r="D86">
        <v>54</v>
      </c>
      <c r="E86" s="1">
        <v>26213</v>
      </c>
      <c r="F86" t="s">
        <v>101</v>
      </c>
      <c r="G86" t="s">
        <v>235</v>
      </c>
      <c r="H86">
        <v>29700</v>
      </c>
      <c r="I86">
        <v>34000</v>
      </c>
      <c r="J86" t="s">
        <v>17</v>
      </c>
      <c r="K86">
        <v>35</v>
      </c>
      <c r="M86" t="s">
        <v>17</v>
      </c>
      <c r="N86">
        <v>35000</v>
      </c>
    </row>
    <row r="87" spans="1:14">
      <c r="A87" t="s">
        <v>14</v>
      </c>
      <c r="B87" t="s">
        <v>236</v>
      </c>
      <c r="C87">
        <v>14200</v>
      </c>
      <c r="D87">
        <v>48</v>
      </c>
      <c r="E87" s="1">
        <v>28681</v>
      </c>
      <c r="F87" t="s">
        <v>237</v>
      </c>
      <c r="H87">
        <v>15800</v>
      </c>
      <c r="I87" t="s">
        <v>22</v>
      </c>
      <c r="J87" t="s">
        <v>17</v>
      </c>
      <c r="K87">
        <v>12</v>
      </c>
      <c r="M87" t="s">
        <v>17</v>
      </c>
      <c r="N87">
        <v>69500</v>
      </c>
    </row>
    <row r="88" spans="1:14">
      <c r="A88" t="s">
        <v>14</v>
      </c>
      <c r="B88" t="s">
        <v>238</v>
      </c>
      <c r="C88" t="s">
        <v>239</v>
      </c>
      <c r="D88">
        <v>37</v>
      </c>
      <c r="E88" s="1">
        <v>32543</v>
      </c>
      <c r="F88" t="s">
        <v>101</v>
      </c>
      <c r="G88" t="s">
        <v>21</v>
      </c>
      <c r="H88">
        <v>29200</v>
      </c>
      <c r="I88" s="2">
        <v>45000</v>
      </c>
      <c r="J88" t="s">
        <v>17</v>
      </c>
      <c r="K88">
        <v>26</v>
      </c>
      <c r="M88" t="s">
        <v>17</v>
      </c>
      <c r="N88">
        <v>23500</v>
      </c>
    </row>
    <row r="89" spans="1:14">
      <c r="A89" t="s">
        <v>14</v>
      </c>
      <c r="B89" t="s">
        <v>238</v>
      </c>
      <c r="C89" t="s">
        <v>239</v>
      </c>
      <c r="D89">
        <v>37</v>
      </c>
      <c r="E89" s="1">
        <v>32543</v>
      </c>
      <c r="F89" t="s">
        <v>101</v>
      </c>
      <c r="G89" t="s">
        <v>21</v>
      </c>
      <c r="H89">
        <v>29200</v>
      </c>
      <c r="I89" s="2">
        <v>45000</v>
      </c>
      <c r="J89" t="s">
        <v>17</v>
      </c>
      <c r="K89">
        <v>26</v>
      </c>
      <c r="M89" t="s">
        <v>17</v>
      </c>
      <c r="N89">
        <v>78000</v>
      </c>
    </row>
    <row r="90" spans="1:14">
      <c r="A90" t="s">
        <v>14</v>
      </c>
      <c r="B90" t="s">
        <v>240</v>
      </c>
      <c r="C90" t="s">
        <v>241</v>
      </c>
      <c r="E90" s="1">
        <v>36337</v>
      </c>
      <c r="F90" t="s">
        <v>242</v>
      </c>
      <c r="G90" t="s">
        <v>41</v>
      </c>
      <c r="H90">
        <v>22500</v>
      </c>
      <c r="I90">
        <v>55500</v>
      </c>
      <c r="J90" t="s">
        <v>17</v>
      </c>
      <c r="K90">
        <v>32</v>
      </c>
      <c r="M90" t="s">
        <v>17</v>
      </c>
      <c r="N90">
        <v>91500</v>
      </c>
    </row>
    <row r="91" spans="1:14">
      <c r="A91" t="s">
        <v>28</v>
      </c>
      <c r="B91" t="s">
        <v>243</v>
      </c>
      <c r="C91" t="s">
        <v>244</v>
      </c>
      <c r="D91">
        <v>65</v>
      </c>
      <c r="E91" s="1">
        <v>22275</v>
      </c>
      <c r="F91" t="s">
        <v>51</v>
      </c>
      <c r="G91" t="s">
        <v>52</v>
      </c>
      <c r="H91">
        <v>3300</v>
      </c>
      <c r="I91">
        <v>43500</v>
      </c>
      <c r="J91" t="s">
        <v>17</v>
      </c>
      <c r="K91" t="s">
        <v>245</v>
      </c>
      <c r="M91" t="s">
        <v>17</v>
      </c>
      <c r="N91">
        <v>23500</v>
      </c>
    </row>
    <row r="92" spans="1:14">
      <c r="A92" t="s">
        <v>14</v>
      </c>
      <c r="B92" t="s">
        <v>243</v>
      </c>
      <c r="C92">
        <v>16100</v>
      </c>
      <c r="D92">
        <v>57</v>
      </c>
      <c r="F92" t="s">
        <v>91</v>
      </c>
      <c r="G92" t="s">
        <v>153</v>
      </c>
      <c r="H92" t="s">
        <v>113</v>
      </c>
      <c r="J92" t="s">
        <v>65</v>
      </c>
      <c r="K92" t="s">
        <v>246</v>
      </c>
      <c r="M92" t="s">
        <v>65</v>
      </c>
      <c r="N92">
        <v>13000</v>
      </c>
    </row>
    <row r="93" spans="1:14">
      <c r="A93" t="s">
        <v>28</v>
      </c>
      <c r="B93" t="s">
        <v>247</v>
      </c>
      <c r="C93" t="s">
        <v>248</v>
      </c>
      <c r="D93">
        <v>74</v>
      </c>
      <c r="E93" s="1">
        <v>19047</v>
      </c>
      <c r="F93" t="s">
        <v>91</v>
      </c>
      <c r="G93" t="s">
        <v>92</v>
      </c>
      <c r="H93">
        <v>24000</v>
      </c>
      <c r="I93">
        <v>35000</v>
      </c>
      <c r="J93" t="s">
        <v>17</v>
      </c>
      <c r="K93" t="s">
        <v>249</v>
      </c>
      <c r="M93" t="s">
        <v>17</v>
      </c>
      <c r="N93">
        <v>29500</v>
      </c>
    </row>
    <row r="94" spans="1:14">
      <c r="A94" t="s">
        <v>28</v>
      </c>
      <c r="B94" t="s">
        <v>250</v>
      </c>
      <c r="C94">
        <v>31800</v>
      </c>
      <c r="D94">
        <v>43</v>
      </c>
      <c r="E94" s="1">
        <v>30391</v>
      </c>
      <c r="F94" t="s">
        <v>40</v>
      </c>
      <c r="G94" t="s">
        <v>41</v>
      </c>
      <c r="H94">
        <v>7100</v>
      </c>
      <c r="I94" t="s">
        <v>251</v>
      </c>
      <c r="J94" t="s">
        <v>17</v>
      </c>
      <c r="K94">
        <v>23</v>
      </c>
      <c r="M94" t="s">
        <v>17</v>
      </c>
      <c r="N94">
        <v>67000</v>
      </c>
    </row>
    <row r="95" spans="1:14">
      <c r="A95" t="s">
        <v>28</v>
      </c>
      <c r="B95" t="s">
        <v>252</v>
      </c>
      <c r="C95">
        <v>3200</v>
      </c>
      <c r="D95">
        <v>31</v>
      </c>
      <c r="E95" s="1">
        <v>34746</v>
      </c>
      <c r="F95" t="s">
        <v>62</v>
      </c>
      <c r="G95" t="s">
        <v>48</v>
      </c>
      <c r="H95" s="2">
        <v>18200</v>
      </c>
      <c r="I95">
        <v>78500</v>
      </c>
      <c r="J95" t="s">
        <v>17</v>
      </c>
      <c r="K95">
        <v>9</v>
      </c>
      <c r="M95" t="s">
        <v>17</v>
      </c>
      <c r="N95">
        <v>73000</v>
      </c>
    </row>
    <row r="96" spans="1:14">
      <c r="A96" t="s">
        <v>28</v>
      </c>
      <c r="B96" t="s">
        <v>253</v>
      </c>
      <c r="C96" t="s">
        <v>254</v>
      </c>
      <c r="D96">
        <v>55</v>
      </c>
      <c r="E96" s="1">
        <v>25848</v>
      </c>
      <c r="F96" t="s">
        <v>30</v>
      </c>
      <c r="G96" t="s">
        <v>31</v>
      </c>
      <c r="I96">
        <v>5000</v>
      </c>
      <c r="J96" t="s">
        <v>17</v>
      </c>
      <c r="K96">
        <v>8</v>
      </c>
      <c r="M96" t="s">
        <v>17</v>
      </c>
      <c r="N96">
        <v>11000</v>
      </c>
    </row>
    <row r="97" spans="1:14">
      <c r="A97" t="s">
        <v>14</v>
      </c>
      <c r="B97" t="s">
        <v>255</v>
      </c>
      <c r="C97" t="s">
        <v>256</v>
      </c>
      <c r="D97">
        <v>47</v>
      </c>
      <c r="E97" s="1">
        <v>28802</v>
      </c>
      <c r="F97" t="s">
        <v>150</v>
      </c>
      <c r="G97" t="s">
        <v>163</v>
      </c>
      <c r="H97">
        <v>22700</v>
      </c>
      <c r="I97">
        <v>8500</v>
      </c>
      <c r="K97">
        <v>35</v>
      </c>
      <c r="N97">
        <v>23500</v>
      </c>
    </row>
    <row r="98" spans="1:14">
      <c r="A98" t="s">
        <v>14</v>
      </c>
      <c r="B98" t="s">
        <v>257</v>
      </c>
      <c r="C98">
        <v>15900</v>
      </c>
      <c r="D98">
        <v>26</v>
      </c>
      <c r="E98" s="1">
        <v>36411</v>
      </c>
      <c r="F98" t="s">
        <v>25</v>
      </c>
      <c r="G98" t="s">
        <v>55</v>
      </c>
      <c r="H98" t="s">
        <v>258</v>
      </c>
      <c r="I98" s="2">
        <v>68500</v>
      </c>
      <c r="J98" t="s">
        <v>17</v>
      </c>
      <c r="K98">
        <v>27</v>
      </c>
      <c r="M98" t="s">
        <v>17</v>
      </c>
      <c r="N98">
        <v>7000</v>
      </c>
    </row>
    <row r="99" spans="1:14">
      <c r="A99" t="s">
        <v>230</v>
      </c>
      <c r="B99" t="s">
        <v>259</v>
      </c>
      <c r="C99" t="s">
        <v>260</v>
      </c>
      <c r="D99">
        <v>73</v>
      </c>
      <c r="E99" s="1">
        <v>19314</v>
      </c>
      <c r="F99" t="s">
        <v>69</v>
      </c>
      <c r="G99" t="s">
        <v>105</v>
      </c>
      <c r="H99">
        <v>6100</v>
      </c>
      <c r="I99" t="s">
        <v>261</v>
      </c>
      <c r="J99" t="s">
        <v>17</v>
      </c>
      <c r="K99">
        <v>9</v>
      </c>
      <c r="M99" t="s">
        <v>17</v>
      </c>
      <c r="N99">
        <v>24500</v>
      </c>
    </row>
    <row r="100" spans="1:14">
      <c r="A100" t="s">
        <v>28</v>
      </c>
      <c r="B100" t="s">
        <v>262</v>
      </c>
      <c r="C100" t="s">
        <v>263</v>
      </c>
      <c r="D100">
        <v>55</v>
      </c>
      <c r="E100" s="1">
        <v>26142</v>
      </c>
      <c r="F100" t="s">
        <v>51</v>
      </c>
      <c r="G100" t="s">
        <v>264</v>
      </c>
      <c r="H100" t="s">
        <v>265</v>
      </c>
      <c r="I100" t="s">
        <v>266</v>
      </c>
      <c r="J100" t="s">
        <v>65</v>
      </c>
      <c r="K100">
        <v>14</v>
      </c>
      <c r="M100" t="s">
        <v>65</v>
      </c>
      <c r="N100">
        <v>27000</v>
      </c>
    </row>
    <row r="101" spans="1:14">
      <c r="A101" t="s">
        <v>28</v>
      </c>
      <c r="B101" t="s">
        <v>267</v>
      </c>
      <c r="C101" t="s">
        <v>268</v>
      </c>
      <c r="D101">
        <v>52</v>
      </c>
      <c r="E101" s="1">
        <v>27186</v>
      </c>
      <c r="F101" t="s">
        <v>180</v>
      </c>
      <c r="G101" t="s">
        <v>185</v>
      </c>
      <c r="H101">
        <v>6400</v>
      </c>
      <c r="I101">
        <v>37000</v>
      </c>
      <c r="J101" t="s">
        <v>17</v>
      </c>
      <c r="K101">
        <v>1</v>
      </c>
      <c r="M101" t="s">
        <v>17</v>
      </c>
      <c r="N101">
        <v>87000</v>
      </c>
    </row>
    <row r="102" spans="1:14">
      <c r="A102" t="s">
        <v>28</v>
      </c>
      <c r="B102" t="s">
        <v>269</v>
      </c>
      <c r="C102" t="s">
        <v>270</v>
      </c>
      <c r="D102">
        <v>70</v>
      </c>
      <c r="E102" s="1">
        <v>20502</v>
      </c>
      <c r="F102" t="s">
        <v>91</v>
      </c>
      <c r="G102" t="s">
        <v>92</v>
      </c>
      <c r="H102" s="3">
        <v>2500</v>
      </c>
      <c r="I102">
        <v>0</v>
      </c>
      <c r="J102" t="s">
        <v>17</v>
      </c>
      <c r="K102">
        <v>38</v>
      </c>
      <c r="M102" t="s">
        <v>17</v>
      </c>
      <c r="N102">
        <v>44500</v>
      </c>
    </row>
    <row r="103" spans="1:14">
      <c r="A103" t="s">
        <v>14</v>
      </c>
      <c r="B103" t="s">
        <v>271</v>
      </c>
      <c r="C103" t="s">
        <v>272</v>
      </c>
      <c r="D103">
        <v>32</v>
      </c>
      <c r="E103" s="1">
        <v>34347</v>
      </c>
      <c r="F103" t="s">
        <v>51</v>
      </c>
      <c r="G103" t="s">
        <v>52</v>
      </c>
      <c r="H103">
        <v>15600</v>
      </c>
      <c r="I103">
        <v>0</v>
      </c>
      <c r="J103" t="s">
        <v>65</v>
      </c>
      <c r="K103">
        <v>34</v>
      </c>
      <c r="M103" t="s">
        <v>65</v>
      </c>
      <c r="N103">
        <v>16000</v>
      </c>
    </row>
    <row r="104" spans="1:14">
      <c r="A104" t="s">
        <v>28</v>
      </c>
      <c r="B104" t="s">
        <v>273</v>
      </c>
      <c r="C104" t="s">
        <v>274</v>
      </c>
      <c r="D104">
        <v>59</v>
      </c>
      <c r="E104" s="1">
        <v>24512</v>
      </c>
      <c r="F104" t="s">
        <v>275</v>
      </c>
      <c r="G104" t="s">
        <v>235</v>
      </c>
      <c r="H104">
        <v>6300</v>
      </c>
      <c r="I104">
        <v>15000</v>
      </c>
      <c r="J104" t="s">
        <v>17</v>
      </c>
      <c r="K104">
        <v>42</v>
      </c>
      <c r="M104" t="s">
        <v>17</v>
      </c>
      <c r="N104">
        <v>8500</v>
      </c>
    </row>
    <row r="105" spans="1:14">
      <c r="A105" t="s">
        <v>14</v>
      </c>
      <c r="B105" t="s">
        <v>276</v>
      </c>
      <c r="C105" t="s">
        <v>277</v>
      </c>
      <c r="D105" t="s">
        <v>278</v>
      </c>
      <c r="E105" s="1">
        <v>27378</v>
      </c>
      <c r="F105" t="s">
        <v>34</v>
      </c>
      <c r="G105" t="s">
        <v>34</v>
      </c>
      <c r="H105" s="2">
        <v>11600</v>
      </c>
      <c r="I105">
        <v>41000</v>
      </c>
      <c r="J105" t="s">
        <v>17</v>
      </c>
      <c r="K105" t="s">
        <v>279</v>
      </c>
      <c r="M105" t="s">
        <v>17</v>
      </c>
      <c r="N105">
        <v>67000</v>
      </c>
    </row>
    <row r="106" spans="1:14">
      <c r="A106" t="s">
        <v>28</v>
      </c>
      <c r="B106" t="s">
        <v>280</v>
      </c>
      <c r="C106" t="s">
        <v>281</v>
      </c>
      <c r="D106">
        <v>38</v>
      </c>
      <c r="E106" s="1">
        <v>32102</v>
      </c>
      <c r="F106" t="s">
        <v>44</v>
      </c>
      <c r="G106" t="s">
        <v>282</v>
      </c>
      <c r="H106">
        <v>13500</v>
      </c>
      <c r="I106">
        <v>24000</v>
      </c>
      <c r="J106" t="s">
        <v>17</v>
      </c>
      <c r="K106">
        <v>2</v>
      </c>
      <c r="M106" t="s">
        <v>17</v>
      </c>
      <c r="N106">
        <v>17500</v>
      </c>
    </row>
    <row r="107" spans="1:14">
      <c r="A107" t="s">
        <v>14</v>
      </c>
      <c r="B107" t="s">
        <v>283</v>
      </c>
      <c r="C107" t="s">
        <v>284</v>
      </c>
      <c r="D107">
        <v>48</v>
      </c>
      <c r="E107" s="1">
        <v>28673</v>
      </c>
      <c r="F107" t="s">
        <v>150</v>
      </c>
      <c r="G107" t="s">
        <v>285</v>
      </c>
      <c r="H107" s="2">
        <v>2300</v>
      </c>
      <c r="I107">
        <v>26500</v>
      </c>
      <c r="J107" t="s">
        <v>72</v>
      </c>
      <c r="K107">
        <v>44</v>
      </c>
      <c r="M107" t="s">
        <v>72</v>
      </c>
      <c r="N107">
        <v>81000</v>
      </c>
    </row>
    <row r="108" spans="1:14">
      <c r="A108" t="s">
        <v>14</v>
      </c>
      <c r="B108" t="s">
        <v>286</v>
      </c>
      <c r="C108" t="s">
        <v>287</v>
      </c>
      <c r="D108">
        <v>22</v>
      </c>
      <c r="E108" s="1">
        <v>37904</v>
      </c>
      <c r="F108" t="s">
        <v>180</v>
      </c>
      <c r="G108" t="s">
        <v>38</v>
      </c>
      <c r="H108">
        <v>2300</v>
      </c>
      <c r="I108">
        <v>0</v>
      </c>
      <c r="J108" t="s">
        <v>65</v>
      </c>
      <c r="K108" t="s">
        <v>288</v>
      </c>
      <c r="M108" t="s">
        <v>65</v>
      </c>
      <c r="N108">
        <v>51500</v>
      </c>
    </row>
    <row r="109" spans="1:14">
      <c r="A109" t="s">
        <v>76</v>
      </c>
      <c r="B109" t="s">
        <v>289</v>
      </c>
      <c r="C109" t="s">
        <v>290</v>
      </c>
      <c r="D109">
        <v>56</v>
      </c>
      <c r="E109" s="1">
        <v>25551</v>
      </c>
      <c r="F109" t="s">
        <v>34</v>
      </c>
      <c r="G109" t="s">
        <v>34</v>
      </c>
      <c r="H109" s="3">
        <v>22600</v>
      </c>
      <c r="I109">
        <v>63000</v>
      </c>
      <c r="J109" t="s">
        <v>17</v>
      </c>
      <c r="K109">
        <v>33</v>
      </c>
      <c r="M109" t="s">
        <v>17</v>
      </c>
      <c r="N109">
        <v>53000</v>
      </c>
    </row>
    <row r="110" spans="1:14">
      <c r="A110" t="s">
        <v>14</v>
      </c>
      <c r="B110" t="s">
        <v>291</v>
      </c>
      <c r="C110" t="s">
        <v>292</v>
      </c>
      <c r="D110">
        <v>23</v>
      </c>
      <c r="E110" s="1">
        <v>37627</v>
      </c>
      <c r="F110" t="s">
        <v>25</v>
      </c>
      <c r="G110" t="s">
        <v>192</v>
      </c>
      <c r="I110">
        <v>69000</v>
      </c>
      <c r="J110" t="s">
        <v>17</v>
      </c>
      <c r="K110">
        <v>20</v>
      </c>
      <c r="M110" t="s">
        <v>17</v>
      </c>
      <c r="N110">
        <v>69000</v>
      </c>
    </row>
    <row r="111" spans="1:14">
      <c r="A111" t="s">
        <v>14</v>
      </c>
      <c r="B111" t="s">
        <v>293</v>
      </c>
      <c r="C111" t="s">
        <v>294</v>
      </c>
      <c r="D111">
        <v>72</v>
      </c>
      <c r="E111" s="1">
        <v>19839</v>
      </c>
      <c r="F111" t="s">
        <v>51</v>
      </c>
      <c r="G111" t="s">
        <v>264</v>
      </c>
      <c r="H111" s="2">
        <v>3900</v>
      </c>
      <c r="I111">
        <v>27000</v>
      </c>
      <c r="J111" t="s">
        <v>17</v>
      </c>
      <c r="K111">
        <v>33</v>
      </c>
      <c r="M111" t="s">
        <v>17</v>
      </c>
      <c r="N111">
        <v>2000</v>
      </c>
    </row>
    <row r="112" spans="1:14">
      <c r="A112" t="s">
        <v>14</v>
      </c>
      <c r="B112" t="s">
        <v>295</v>
      </c>
      <c r="C112" t="s">
        <v>296</v>
      </c>
      <c r="D112">
        <v>54</v>
      </c>
      <c r="E112" s="1">
        <v>26230</v>
      </c>
      <c r="F112" t="s">
        <v>99</v>
      </c>
      <c r="G112" t="s">
        <v>172</v>
      </c>
      <c r="H112">
        <v>18700</v>
      </c>
      <c r="I112">
        <v>46000</v>
      </c>
      <c r="J112" t="s">
        <v>65</v>
      </c>
      <c r="K112">
        <v>4</v>
      </c>
      <c r="M112" t="s">
        <v>65</v>
      </c>
      <c r="N112">
        <v>27500</v>
      </c>
    </row>
    <row r="113" spans="1:14">
      <c r="A113" t="s">
        <v>28</v>
      </c>
      <c r="B113" t="s">
        <v>297</v>
      </c>
      <c r="C113" t="s">
        <v>298</v>
      </c>
      <c r="D113">
        <v>67</v>
      </c>
      <c r="E113" s="1">
        <v>21512</v>
      </c>
      <c r="F113" t="s">
        <v>62</v>
      </c>
      <c r="G113" t="s">
        <v>48</v>
      </c>
      <c r="H113" s="2">
        <v>3200</v>
      </c>
      <c r="I113">
        <v>6500</v>
      </c>
      <c r="J113" t="s">
        <v>17</v>
      </c>
      <c r="K113">
        <v>20</v>
      </c>
      <c r="M113" t="s">
        <v>17</v>
      </c>
      <c r="N113">
        <v>52500</v>
      </c>
    </row>
    <row r="114" spans="1:14">
      <c r="A114" t="s">
        <v>14</v>
      </c>
      <c r="B114" t="s">
        <v>299</v>
      </c>
      <c r="C114" t="s">
        <v>300</v>
      </c>
      <c r="D114">
        <v>24</v>
      </c>
      <c r="E114" s="1">
        <v>37394</v>
      </c>
      <c r="F114" t="s">
        <v>301</v>
      </c>
      <c r="H114">
        <v>14200</v>
      </c>
      <c r="I114">
        <v>71000</v>
      </c>
      <c r="J114" t="s">
        <v>17</v>
      </c>
      <c r="K114">
        <v>10</v>
      </c>
      <c r="M114" t="s">
        <v>17</v>
      </c>
      <c r="N114">
        <v>91500</v>
      </c>
    </row>
    <row r="115" spans="1:14">
      <c r="A115" t="s">
        <v>14</v>
      </c>
      <c r="B115" t="s">
        <v>302</v>
      </c>
      <c r="C115" t="s">
        <v>303</v>
      </c>
      <c r="D115">
        <v>26</v>
      </c>
      <c r="E115" s="1">
        <v>36475</v>
      </c>
      <c r="F115" t="s">
        <v>304</v>
      </c>
      <c r="H115">
        <v>13900</v>
      </c>
      <c r="I115" s="2">
        <v>53500</v>
      </c>
      <c r="J115" t="s">
        <v>17</v>
      </c>
      <c r="K115">
        <v>12</v>
      </c>
      <c r="M115" t="s">
        <v>17</v>
      </c>
      <c r="N115">
        <v>85000</v>
      </c>
    </row>
    <row r="116" spans="1:14">
      <c r="A116" t="s">
        <v>28</v>
      </c>
      <c r="B116" t="s">
        <v>305</v>
      </c>
      <c r="C116" t="s">
        <v>306</v>
      </c>
      <c r="D116">
        <v>33</v>
      </c>
      <c r="E116" s="1">
        <v>34154</v>
      </c>
      <c r="F116" t="s">
        <v>40</v>
      </c>
      <c r="G116" t="s">
        <v>41</v>
      </c>
      <c r="H116">
        <v>2400</v>
      </c>
      <c r="I116" s="2">
        <v>78000</v>
      </c>
      <c r="J116" t="s">
        <v>17</v>
      </c>
      <c r="K116">
        <v>6</v>
      </c>
      <c r="M116" t="s">
        <v>17</v>
      </c>
      <c r="N116">
        <v>28000</v>
      </c>
    </row>
    <row r="117" spans="1:14">
      <c r="A117" t="s">
        <v>14</v>
      </c>
      <c r="B117" t="s">
        <v>307</v>
      </c>
      <c r="C117">
        <v>2200</v>
      </c>
      <c r="D117">
        <v>58</v>
      </c>
      <c r="E117" s="1">
        <v>24840</v>
      </c>
      <c r="F117" t="s">
        <v>150</v>
      </c>
      <c r="G117" t="s">
        <v>157</v>
      </c>
      <c r="H117" s="2">
        <v>2800</v>
      </c>
      <c r="I117" s="2">
        <v>35000</v>
      </c>
      <c r="J117" t="s">
        <v>17</v>
      </c>
      <c r="K117">
        <v>36</v>
      </c>
      <c r="M117" t="s">
        <v>17</v>
      </c>
      <c r="N117">
        <v>9000</v>
      </c>
    </row>
    <row r="118" spans="1:14">
      <c r="A118" t="s">
        <v>14</v>
      </c>
      <c r="B118" t="s">
        <v>308</v>
      </c>
      <c r="C118">
        <v>15600</v>
      </c>
      <c r="D118">
        <v>44</v>
      </c>
      <c r="E118" s="1">
        <v>29843</v>
      </c>
      <c r="F118" t="s">
        <v>69</v>
      </c>
      <c r="G118" t="s">
        <v>70</v>
      </c>
      <c r="H118">
        <v>11300</v>
      </c>
      <c r="I118">
        <v>55000</v>
      </c>
      <c r="J118" t="s">
        <v>17</v>
      </c>
      <c r="K118">
        <v>38</v>
      </c>
      <c r="M118" t="s">
        <v>17</v>
      </c>
      <c r="N118">
        <v>68500</v>
      </c>
    </row>
    <row r="119" spans="1:14">
      <c r="A119" t="s">
        <v>14</v>
      </c>
      <c r="B119" t="s">
        <v>309</v>
      </c>
      <c r="C119" t="s">
        <v>310</v>
      </c>
      <c r="D119">
        <v>65</v>
      </c>
      <c r="E119" s="1">
        <v>22366</v>
      </c>
      <c r="F119" t="s">
        <v>20</v>
      </c>
      <c r="G119" t="s">
        <v>146</v>
      </c>
      <c r="H119" s="3">
        <v>18000</v>
      </c>
      <c r="I119">
        <v>0</v>
      </c>
      <c r="J119" t="s">
        <v>17</v>
      </c>
      <c r="K119">
        <v>27</v>
      </c>
      <c r="M119" t="s">
        <v>17</v>
      </c>
      <c r="N119">
        <v>38500</v>
      </c>
    </row>
    <row r="120" spans="1:14">
      <c r="B120" t="s">
        <v>311</v>
      </c>
      <c r="C120" t="s">
        <v>312</v>
      </c>
      <c r="E120" s="1">
        <v>33188</v>
      </c>
      <c r="F120" t="s">
        <v>62</v>
      </c>
      <c r="G120" t="s">
        <v>31</v>
      </c>
      <c r="H120">
        <v>29900</v>
      </c>
      <c r="I120" s="2">
        <v>64500</v>
      </c>
      <c r="J120" t="s">
        <v>17</v>
      </c>
      <c r="K120">
        <v>34</v>
      </c>
      <c r="M120" t="s">
        <v>17</v>
      </c>
      <c r="N120">
        <v>48500</v>
      </c>
    </row>
    <row r="121" spans="1:14">
      <c r="A121" t="s">
        <v>14</v>
      </c>
      <c r="B121" t="s">
        <v>313</v>
      </c>
      <c r="C121" t="s">
        <v>314</v>
      </c>
      <c r="D121">
        <v>58</v>
      </c>
      <c r="E121" s="1">
        <v>25066</v>
      </c>
      <c r="F121" t="s">
        <v>20</v>
      </c>
      <c r="G121" t="s">
        <v>146</v>
      </c>
      <c r="H121" s="3">
        <v>4500</v>
      </c>
      <c r="J121" t="s">
        <v>65</v>
      </c>
      <c r="K121">
        <v>31</v>
      </c>
      <c r="M121" t="s">
        <v>65</v>
      </c>
      <c r="N121">
        <v>97500</v>
      </c>
    </row>
    <row r="122" spans="1:14">
      <c r="A122" t="s">
        <v>28</v>
      </c>
      <c r="B122" t="s">
        <v>315</v>
      </c>
      <c r="C122" t="s">
        <v>316</v>
      </c>
      <c r="D122">
        <v>29</v>
      </c>
      <c r="E122" s="1">
        <v>35598</v>
      </c>
      <c r="F122" t="s">
        <v>34</v>
      </c>
      <c r="G122" t="s">
        <v>34</v>
      </c>
      <c r="H122">
        <v>15500</v>
      </c>
      <c r="I122">
        <v>75000</v>
      </c>
      <c r="J122" t="s">
        <v>27</v>
      </c>
      <c r="K122">
        <v>25</v>
      </c>
      <c r="M122" t="s">
        <v>27</v>
      </c>
      <c r="N122">
        <v>47000</v>
      </c>
    </row>
    <row r="123" spans="1:14">
      <c r="A123" t="s">
        <v>14</v>
      </c>
      <c r="B123" t="s">
        <v>317</v>
      </c>
      <c r="C123">
        <v>23300</v>
      </c>
      <c r="D123">
        <v>38</v>
      </c>
      <c r="E123" s="1">
        <v>32066</v>
      </c>
      <c r="F123" t="s">
        <v>30</v>
      </c>
      <c r="G123" t="s">
        <v>31</v>
      </c>
      <c r="H123">
        <v>9700</v>
      </c>
      <c r="I123" s="3">
        <v>25000</v>
      </c>
      <c r="J123" t="s">
        <v>17</v>
      </c>
      <c r="K123">
        <v>0</v>
      </c>
      <c r="M123" t="s">
        <v>17</v>
      </c>
      <c r="N123">
        <v>55500</v>
      </c>
    </row>
    <row r="124" spans="1:14">
      <c r="A124" t="s">
        <v>28</v>
      </c>
      <c r="B124" t="s">
        <v>318</v>
      </c>
      <c r="C124" t="s">
        <v>319</v>
      </c>
      <c r="D124">
        <v>26</v>
      </c>
      <c r="E124" s="1">
        <v>36540</v>
      </c>
      <c r="F124" t="s">
        <v>69</v>
      </c>
      <c r="G124" t="s">
        <v>320</v>
      </c>
      <c r="H124">
        <v>24000</v>
      </c>
      <c r="I124" t="s">
        <v>321</v>
      </c>
      <c r="J124" t="s">
        <v>17</v>
      </c>
      <c r="K124">
        <v>30</v>
      </c>
      <c r="M124" t="s">
        <v>17</v>
      </c>
      <c r="N124">
        <v>62500</v>
      </c>
    </row>
    <row r="125" spans="1:14">
      <c r="A125" t="s">
        <v>28</v>
      </c>
      <c r="B125" t="s">
        <v>318</v>
      </c>
      <c r="C125" t="s">
        <v>319</v>
      </c>
      <c r="D125">
        <v>26</v>
      </c>
      <c r="E125" s="1">
        <v>36540</v>
      </c>
      <c r="F125" t="s">
        <v>69</v>
      </c>
      <c r="G125" t="s">
        <v>320</v>
      </c>
      <c r="H125">
        <v>24000</v>
      </c>
      <c r="I125" t="s">
        <v>321</v>
      </c>
      <c r="J125" t="s">
        <v>17</v>
      </c>
      <c r="K125">
        <v>30</v>
      </c>
      <c r="M125" t="s">
        <v>17</v>
      </c>
      <c r="N125">
        <v>11500</v>
      </c>
    </row>
    <row r="126" spans="1:14">
      <c r="A126" t="s">
        <v>14</v>
      </c>
      <c r="B126" t="s">
        <v>322</v>
      </c>
      <c r="C126" t="s">
        <v>323</v>
      </c>
      <c r="D126">
        <v>48</v>
      </c>
      <c r="E126" s="1">
        <v>28689</v>
      </c>
      <c r="F126" t="s">
        <v>180</v>
      </c>
      <c r="G126" t="s">
        <v>38</v>
      </c>
      <c r="H126" s="2">
        <v>18700</v>
      </c>
      <c r="I126">
        <v>11000</v>
      </c>
      <c r="J126" t="s">
        <v>17</v>
      </c>
      <c r="K126">
        <v>28</v>
      </c>
      <c r="M126" t="s">
        <v>17</v>
      </c>
      <c r="N126">
        <v>18000</v>
      </c>
    </row>
    <row r="127" spans="1:14">
      <c r="A127" t="s">
        <v>28</v>
      </c>
      <c r="B127" t="s">
        <v>324</v>
      </c>
      <c r="C127">
        <v>16600</v>
      </c>
      <c r="D127">
        <v>35</v>
      </c>
      <c r="E127" s="1">
        <v>33417</v>
      </c>
      <c r="F127" t="s">
        <v>20</v>
      </c>
      <c r="G127" t="s">
        <v>146</v>
      </c>
      <c r="H127" s="2">
        <v>12400</v>
      </c>
      <c r="I127">
        <v>0</v>
      </c>
      <c r="J127" t="s">
        <v>17</v>
      </c>
      <c r="K127">
        <v>3</v>
      </c>
      <c r="M127" t="s">
        <v>17</v>
      </c>
      <c r="N127">
        <v>83500</v>
      </c>
    </row>
    <row r="128" spans="1:14">
      <c r="A128" t="s">
        <v>14</v>
      </c>
      <c r="B128" t="s">
        <v>325</v>
      </c>
      <c r="C128" t="s">
        <v>326</v>
      </c>
      <c r="D128">
        <v>35</v>
      </c>
      <c r="E128" s="1">
        <v>33336</v>
      </c>
      <c r="F128" t="s">
        <v>51</v>
      </c>
      <c r="G128" t="s">
        <v>52</v>
      </c>
      <c r="H128" t="s">
        <v>327</v>
      </c>
      <c r="I128">
        <v>54000</v>
      </c>
      <c r="J128">
        <v>0</v>
      </c>
      <c r="K128">
        <v>44</v>
      </c>
      <c r="M128">
        <v>0</v>
      </c>
      <c r="N128">
        <v>18000</v>
      </c>
    </row>
    <row r="129" spans="1:14">
      <c r="A129" t="s">
        <v>28</v>
      </c>
      <c r="B129" t="s">
        <v>328</v>
      </c>
      <c r="C129" t="s">
        <v>329</v>
      </c>
      <c r="D129">
        <v>33</v>
      </c>
      <c r="E129" s="1">
        <v>33989</v>
      </c>
      <c r="F129" t="s">
        <v>104</v>
      </c>
      <c r="G129" t="s">
        <v>320</v>
      </c>
      <c r="H129">
        <v>23400</v>
      </c>
      <c r="I129">
        <v>59000</v>
      </c>
      <c r="J129" t="s">
        <v>330</v>
      </c>
      <c r="K129">
        <v>35</v>
      </c>
      <c r="M129" t="s">
        <v>330</v>
      </c>
      <c r="N129">
        <v>39000</v>
      </c>
    </row>
    <row r="130" spans="1:14">
      <c r="A130" t="s">
        <v>14</v>
      </c>
      <c r="B130" t="s">
        <v>331</v>
      </c>
      <c r="D130">
        <v>24</v>
      </c>
      <c r="F130" t="s">
        <v>69</v>
      </c>
      <c r="G130" t="s">
        <v>105</v>
      </c>
      <c r="H130">
        <v>17000</v>
      </c>
      <c r="I130">
        <v>41000</v>
      </c>
      <c r="J130" t="s">
        <v>17</v>
      </c>
      <c r="K130">
        <v>37</v>
      </c>
      <c r="M130" t="s">
        <v>17</v>
      </c>
      <c r="N130">
        <v>33000</v>
      </c>
    </row>
    <row r="131" spans="1:14">
      <c r="A131" t="s">
        <v>195</v>
      </c>
      <c r="B131" t="s">
        <v>332</v>
      </c>
      <c r="C131">
        <v>20900</v>
      </c>
      <c r="D131">
        <v>33</v>
      </c>
      <c r="E131" s="1">
        <v>34021</v>
      </c>
      <c r="F131" t="s">
        <v>180</v>
      </c>
      <c r="G131" t="s">
        <v>38</v>
      </c>
      <c r="I131">
        <v>73500</v>
      </c>
      <c r="J131" t="s">
        <v>17</v>
      </c>
      <c r="K131">
        <v>33</v>
      </c>
      <c r="M131" t="s">
        <v>17</v>
      </c>
      <c r="N131">
        <v>95000</v>
      </c>
    </row>
    <row r="132" spans="1:14">
      <c r="A132" t="s">
        <v>28</v>
      </c>
      <c r="B132" t="s">
        <v>333</v>
      </c>
      <c r="C132" t="s">
        <v>334</v>
      </c>
      <c r="D132">
        <v>66</v>
      </c>
      <c r="E132" s="1">
        <v>22039</v>
      </c>
      <c r="F132" t="s">
        <v>34</v>
      </c>
      <c r="G132" t="s">
        <v>335</v>
      </c>
      <c r="H132" t="s">
        <v>336</v>
      </c>
      <c r="I132" t="s">
        <v>266</v>
      </c>
      <c r="J132" t="s">
        <v>17</v>
      </c>
      <c r="K132">
        <v>28</v>
      </c>
      <c r="M132" t="s">
        <v>17</v>
      </c>
      <c r="N132">
        <v>74500</v>
      </c>
    </row>
    <row r="133" spans="1:14">
      <c r="A133" t="s">
        <v>28</v>
      </c>
      <c r="B133" t="s">
        <v>337</v>
      </c>
      <c r="C133">
        <v>27300</v>
      </c>
      <c r="D133">
        <v>66</v>
      </c>
      <c r="E133" s="1">
        <v>21873</v>
      </c>
      <c r="F133" t="s">
        <v>99</v>
      </c>
      <c r="G133" t="s">
        <v>41</v>
      </c>
      <c r="H133" s="2">
        <v>9900</v>
      </c>
      <c r="I133" t="s">
        <v>338</v>
      </c>
      <c r="J133" t="s">
        <v>17</v>
      </c>
      <c r="K133">
        <v>13</v>
      </c>
      <c r="M133" t="s">
        <v>17</v>
      </c>
      <c r="N133">
        <v>37000</v>
      </c>
    </row>
    <row r="134" spans="1:14">
      <c r="A134" t="s">
        <v>14</v>
      </c>
      <c r="B134" t="s">
        <v>339</v>
      </c>
      <c r="C134" t="s">
        <v>340</v>
      </c>
      <c r="D134">
        <v>27</v>
      </c>
      <c r="E134" s="1">
        <v>36319</v>
      </c>
      <c r="F134" t="s">
        <v>180</v>
      </c>
      <c r="G134" t="s">
        <v>185</v>
      </c>
      <c r="H134">
        <v>28800</v>
      </c>
      <c r="I134" s="3">
        <v>78500</v>
      </c>
      <c r="J134" t="s">
        <v>17</v>
      </c>
      <c r="K134">
        <v>2</v>
      </c>
      <c r="M134" t="s">
        <v>17</v>
      </c>
      <c r="N134">
        <v>53000</v>
      </c>
    </row>
    <row r="135" spans="1:14">
      <c r="A135" t="s">
        <v>14</v>
      </c>
      <c r="B135" t="s">
        <v>341</v>
      </c>
      <c r="C135" t="s">
        <v>342</v>
      </c>
      <c r="D135">
        <v>25</v>
      </c>
      <c r="E135" s="1">
        <v>37137</v>
      </c>
      <c r="F135" t="s">
        <v>51</v>
      </c>
      <c r="G135" t="s">
        <v>52</v>
      </c>
      <c r="I135" s="3">
        <v>21000</v>
      </c>
      <c r="J135" t="s">
        <v>17</v>
      </c>
      <c r="K135">
        <v>34</v>
      </c>
      <c r="M135" t="s">
        <v>17</v>
      </c>
      <c r="N135">
        <v>7500</v>
      </c>
    </row>
    <row r="136" spans="1:14">
      <c r="A136" t="s">
        <v>14</v>
      </c>
      <c r="B136" t="s">
        <v>343</v>
      </c>
      <c r="C136" t="s">
        <v>344</v>
      </c>
      <c r="D136">
        <v>37</v>
      </c>
      <c r="E136" s="1">
        <v>32412</v>
      </c>
      <c r="F136" t="s">
        <v>99</v>
      </c>
      <c r="G136" t="s">
        <v>198</v>
      </c>
      <c r="H136">
        <v>24700</v>
      </c>
      <c r="I136" s="2">
        <v>23000</v>
      </c>
      <c r="J136" t="s">
        <v>65</v>
      </c>
      <c r="K136" t="s">
        <v>345</v>
      </c>
      <c r="M136" t="s">
        <v>65</v>
      </c>
      <c r="N136">
        <v>37500</v>
      </c>
    </row>
    <row r="137" spans="1:14">
      <c r="A137" t="s">
        <v>28</v>
      </c>
      <c r="B137" t="s">
        <v>346</v>
      </c>
      <c r="C137" t="s">
        <v>347</v>
      </c>
      <c r="D137">
        <v>47</v>
      </c>
      <c r="E137" s="1">
        <v>29064</v>
      </c>
      <c r="F137" t="s">
        <v>25</v>
      </c>
      <c r="G137" t="s">
        <v>55</v>
      </c>
      <c r="H137">
        <v>13300</v>
      </c>
      <c r="I137">
        <v>1000</v>
      </c>
      <c r="J137" t="s">
        <v>65</v>
      </c>
      <c r="K137">
        <v>24</v>
      </c>
      <c r="M137" t="s">
        <v>65</v>
      </c>
      <c r="N137">
        <v>61500</v>
      </c>
    </row>
    <row r="138" spans="1:14">
      <c r="A138" t="s">
        <v>28</v>
      </c>
      <c r="B138" t="s">
        <v>348</v>
      </c>
      <c r="C138" t="s">
        <v>349</v>
      </c>
      <c r="D138">
        <v>63</v>
      </c>
      <c r="E138" s="1">
        <v>22924</v>
      </c>
      <c r="F138" t="s">
        <v>62</v>
      </c>
      <c r="G138" t="s">
        <v>48</v>
      </c>
      <c r="H138">
        <v>29000</v>
      </c>
      <c r="I138" s="2">
        <v>36500</v>
      </c>
      <c r="J138" t="s">
        <v>17</v>
      </c>
      <c r="K138">
        <v>38</v>
      </c>
      <c r="M138" t="s">
        <v>17</v>
      </c>
      <c r="N138">
        <v>47000</v>
      </c>
    </row>
    <row r="139" spans="1:14">
      <c r="A139" t="s">
        <v>28</v>
      </c>
      <c r="B139" t="s">
        <v>348</v>
      </c>
      <c r="C139" t="s">
        <v>349</v>
      </c>
      <c r="D139">
        <v>63</v>
      </c>
      <c r="E139" s="1">
        <v>22924</v>
      </c>
      <c r="F139" t="s">
        <v>62</v>
      </c>
      <c r="G139" t="s">
        <v>48</v>
      </c>
      <c r="H139">
        <v>29000</v>
      </c>
      <c r="I139" s="2">
        <v>36500</v>
      </c>
      <c r="J139" t="s">
        <v>17</v>
      </c>
      <c r="K139">
        <v>38</v>
      </c>
      <c r="M139" t="s">
        <v>17</v>
      </c>
      <c r="N139">
        <v>68000</v>
      </c>
    </row>
    <row r="140" spans="1:14">
      <c r="A140" t="s">
        <v>28</v>
      </c>
      <c r="B140" t="s">
        <v>350</v>
      </c>
      <c r="C140" t="s">
        <v>351</v>
      </c>
      <c r="D140">
        <v>58</v>
      </c>
      <c r="E140" s="1">
        <v>24726</v>
      </c>
      <c r="F140" t="s">
        <v>30</v>
      </c>
      <c r="G140" t="s">
        <v>31</v>
      </c>
      <c r="H140" t="s">
        <v>352</v>
      </c>
      <c r="I140">
        <v>40000</v>
      </c>
      <c r="J140" t="s">
        <v>17</v>
      </c>
      <c r="K140">
        <v>16</v>
      </c>
      <c r="M140" t="s">
        <v>17</v>
      </c>
      <c r="N140">
        <v>98500</v>
      </c>
    </row>
    <row r="141" spans="1:14">
      <c r="A141" t="s">
        <v>14</v>
      </c>
      <c r="B141" t="s">
        <v>353</v>
      </c>
      <c r="C141" t="s">
        <v>354</v>
      </c>
      <c r="D141">
        <v>69</v>
      </c>
      <c r="F141" t="s">
        <v>37</v>
      </c>
      <c r="G141" t="s">
        <v>185</v>
      </c>
      <c r="H141">
        <v>11400</v>
      </c>
      <c r="I141">
        <v>0</v>
      </c>
      <c r="J141" t="s">
        <v>330</v>
      </c>
      <c r="K141">
        <v>13</v>
      </c>
      <c r="M141" t="s">
        <v>330</v>
      </c>
      <c r="N141">
        <v>79000</v>
      </c>
    </row>
    <row r="142" spans="1:14">
      <c r="A142" t="s">
        <v>14</v>
      </c>
      <c r="B142" t="s">
        <v>355</v>
      </c>
      <c r="C142" t="s">
        <v>356</v>
      </c>
      <c r="D142">
        <v>32</v>
      </c>
      <c r="E142" s="1">
        <v>34299</v>
      </c>
      <c r="F142" t="s">
        <v>51</v>
      </c>
      <c r="G142" t="s">
        <v>220</v>
      </c>
      <c r="H142" s="2">
        <v>30000</v>
      </c>
      <c r="J142" t="s">
        <v>17</v>
      </c>
      <c r="K142">
        <v>5</v>
      </c>
      <c r="M142" t="s">
        <v>17</v>
      </c>
      <c r="N142">
        <v>65000</v>
      </c>
    </row>
    <row r="143" spans="1:14">
      <c r="A143" t="s">
        <v>14</v>
      </c>
      <c r="B143" t="s">
        <v>355</v>
      </c>
      <c r="C143">
        <v>34300</v>
      </c>
      <c r="D143">
        <v>48</v>
      </c>
      <c r="E143" s="1">
        <v>28408</v>
      </c>
      <c r="F143" t="s">
        <v>242</v>
      </c>
      <c r="H143" s="3">
        <v>13300</v>
      </c>
      <c r="I143">
        <v>42000</v>
      </c>
      <c r="J143" t="s">
        <v>65</v>
      </c>
      <c r="K143">
        <v>27</v>
      </c>
      <c r="M143" t="s">
        <v>65</v>
      </c>
      <c r="N143">
        <v>40000</v>
      </c>
    </row>
    <row r="144" spans="1:14">
      <c r="A144" t="s">
        <v>14</v>
      </c>
      <c r="B144" t="s">
        <v>357</v>
      </c>
      <c r="C144" t="s">
        <v>358</v>
      </c>
      <c r="E144" s="1">
        <v>32796</v>
      </c>
      <c r="F144" t="s">
        <v>69</v>
      </c>
      <c r="G144" t="s">
        <v>70</v>
      </c>
      <c r="H144">
        <v>28600</v>
      </c>
      <c r="J144" t="s">
        <v>17</v>
      </c>
      <c r="K144">
        <v>19</v>
      </c>
      <c r="M144" t="s">
        <v>17</v>
      </c>
      <c r="N144">
        <v>90000</v>
      </c>
    </row>
    <row r="145" spans="1:14">
      <c r="A145" t="s">
        <v>14</v>
      </c>
      <c r="B145" t="s">
        <v>359</v>
      </c>
      <c r="C145" t="s">
        <v>360</v>
      </c>
      <c r="D145" t="s">
        <v>361</v>
      </c>
      <c r="E145" s="1">
        <v>37491</v>
      </c>
      <c r="F145" t="s">
        <v>34</v>
      </c>
      <c r="G145" t="s">
        <v>335</v>
      </c>
      <c r="H145" s="2">
        <v>8900</v>
      </c>
      <c r="I145">
        <v>19500</v>
      </c>
      <c r="J145" t="s">
        <v>65</v>
      </c>
      <c r="K145">
        <v>33</v>
      </c>
      <c r="M145" t="s">
        <v>65</v>
      </c>
      <c r="N145">
        <v>96500</v>
      </c>
    </row>
    <row r="146" spans="1:14">
      <c r="A146" t="s">
        <v>14</v>
      </c>
      <c r="B146" t="s">
        <v>362</v>
      </c>
      <c r="C146" t="s">
        <v>363</v>
      </c>
      <c r="D146">
        <v>41</v>
      </c>
      <c r="E146" s="1">
        <v>30944</v>
      </c>
      <c r="F146" t="s">
        <v>180</v>
      </c>
      <c r="G146" t="s">
        <v>38</v>
      </c>
      <c r="H146" t="s">
        <v>364</v>
      </c>
      <c r="I146" s="3">
        <v>20500</v>
      </c>
      <c r="J146" t="s">
        <v>65</v>
      </c>
      <c r="K146">
        <v>8</v>
      </c>
      <c r="M146" t="s">
        <v>65</v>
      </c>
      <c r="N146">
        <v>44000</v>
      </c>
    </row>
    <row r="147" spans="1:14">
      <c r="A147" t="s">
        <v>14</v>
      </c>
      <c r="B147" t="s">
        <v>365</v>
      </c>
      <c r="C147" t="s">
        <v>366</v>
      </c>
      <c r="D147" t="s">
        <v>367</v>
      </c>
      <c r="E147" s="1">
        <v>26161</v>
      </c>
      <c r="F147" t="s">
        <v>20</v>
      </c>
      <c r="H147">
        <v>12200</v>
      </c>
      <c r="I147" t="s">
        <v>368</v>
      </c>
      <c r="J147" t="s">
        <v>72</v>
      </c>
      <c r="K147">
        <v>33</v>
      </c>
      <c r="M147" t="s">
        <v>72</v>
      </c>
      <c r="N147">
        <v>78000</v>
      </c>
    </row>
    <row r="148" spans="1:14">
      <c r="A148" t="s">
        <v>14</v>
      </c>
      <c r="B148" t="s">
        <v>369</v>
      </c>
      <c r="C148">
        <v>21400</v>
      </c>
      <c r="D148">
        <v>67</v>
      </c>
      <c r="E148" s="1">
        <v>21689</v>
      </c>
      <c r="F148" t="s">
        <v>30</v>
      </c>
      <c r="G148" t="s">
        <v>31</v>
      </c>
      <c r="H148">
        <v>10700</v>
      </c>
      <c r="I148" s="2">
        <v>9000</v>
      </c>
      <c r="J148" t="s">
        <v>17</v>
      </c>
      <c r="K148">
        <v>37</v>
      </c>
      <c r="M148" t="s">
        <v>17</v>
      </c>
      <c r="N148">
        <v>53000</v>
      </c>
    </row>
    <row r="149" spans="1:14">
      <c r="A149" t="s">
        <v>14</v>
      </c>
      <c r="B149" t="s">
        <v>370</v>
      </c>
      <c r="C149" t="s">
        <v>371</v>
      </c>
      <c r="D149">
        <v>65</v>
      </c>
      <c r="E149" s="1">
        <v>22297</v>
      </c>
      <c r="F149" t="s">
        <v>91</v>
      </c>
      <c r="G149" t="s">
        <v>92</v>
      </c>
      <c r="H149" s="3">
        <v>27300</v>
      </c>
      <c r="I149">
        <v>48500</v>
      </c>
      <c r="J149" t="s">
        <v>17</v>
      </c>
      <c r="K149">
        <v>29</v>
      </c>
      <c r="M149" t="s">
        <v>17</v>
      </c>
      <c r="N149">
        <v>94000</v>
      </c>
    </row>
    <row r="150" spans="1:14">
      <c r="A150" t="s">
        <v>14</v>
      </c>
      <c r="B150" t="s">
        <v>372</v>
      </c>
      <c r="C150" t="s">
        <v>373</v>
      </c>
      <c r="D150">
        <v>65</v>
      </c>
      <c r="E150" s="1">
        <v>22314</v>
      </c>
      <c r="F150" t="s">
        <v>180</v>
      </c>
      <c r="G150" t="s">
        <v>132</v>
      </c>
      <c r="H150">
        <v>6100</v>
      </c>
      <c r="I150">
        <v>40000</v>
      </c>
      <c r="J150" t="s">
        <v>17</v>
      </c>
      <c r="K150" t="s">
        <v>374</v>
      </c>
      <c r="M150" t="s">
        <v>17</v>
      </c>
      <c r="N150">
        <v>22500</v>
      </c>
    </row>
    <row r="151" spans="1:14">
      <c r="A151" t="s">
        <v>14</v>
      </c>
      <c r="B151" t="s">
        <v>375</v>
      </c>
      <c r="C151">
        <v>31900</v>
      </c>
      <c r="D151">
        <v>20</v>
      </c>
      <c r="E151" s="1">
        <v>38678</v>
      </c>
      <c r="F151" t="s">
        <v>62</v>
      </c>
      <c r="G151" t="s">
        <v>31</v>
      </c>
      <c r="H151" s="3">
        <v>9300</v>
      </c>
      <c r="I151" s="3">
        <v>35000</v>
      </c>
      <c r="J151" t="s">
        <v>17</v>
      </c>
      <c r="K151">
        <v>5</v>
      </c>
      <c r="M151" t="s">
        <v>17</v>
      </c>
      <c r="N151">
        <v>10500</v>
      </c>
    </row>
    <row r="152" spans="1:14">
      <c r="A152" t="s">
        <v>195</v>
      </c>
      <c r="B152" t="s">
        <v>376</v>
      </c>
      <c r="C152" t="s">
        <v>377</v>
      </c>
      <c r="D152">
        <v>59</v>
      </c>
      <c r="E152" s="1">
        <v>24362</v>
      </c>
      <c r="F152" t="s">
        <v>242</v>
      </c>
      <c r="G152" t="s">
        <v>41</v>
      </c>
      <c r="H152">
        <v>18900</v>
      </c>
      <c r="I152">
        <v>1000</v>
      </c>
      <c r="J152" t="s">
        <v>330</v>
      </c>
      <c r="K152">
        <v>42</v>
      </c>
      <c r="M152" t="s">
        <v>330</v>
      </c>
      <c r="N152">
        <v>16500</v>
      </c>
    </row>
    <row r="153" spans="1:14">
      <c r="A153" t="s">
        <v>195</v>
      </c>
      <c r="B153" t="s">
        <v>378</v>
      </c>
      <c r="C153">
        <v>33100</v>
      </c>
      <c r="E153" s="1">
        <v>36759</v>
      </c>
      <c r="F153" t="s">
        <v>34</v>
      </c>
      <c r="G153" t="s">
        <v>34</v>
      </c>
      <c r="H153">
        <v>23200</v>
      </c>
      <c r="I153">
        <v>54500</v>
      </c>
      <c r="J153">
        <v>1</v>
      </c>
      <c r="K153">
        <v>26</v>
      </c>
      <c r="M153">
        <v>1</v>
      </c>
      <c r="N153">
        <v>75000</v>
      </c>
    </row>
    <row r="154" spans="1:14">
      <c r="A154" t="s">
        <v>195</v>
      </c>
      <c r="B154" t="s">
        <v>378</v>
      </c>
      <c r="C154">
        <v>33100</v>
      </c>
      <c r="E154" s="1">
        <v>36759</v>
      </c>
      <c r="F154" t="s">
        <v>34</v>
      </c>
      <c r="G154" t="s">
        <v>34</v>
      </c>
      <c r="H154">
        <v>23200</v>
      </c>
      <c r="I154">
        <v>54500</v>
      </c>
      <c r="J154">
        <v>1</v>
      </c>
      <c r="K154">
        <v>26</v>
      </c>
      <c r="M154">
        <v>1</v>
      </c>
      <c r="N154">
        <v>39500</v>
      </c>
    </row>
    <row r="155" spans="1:14">
      <c r="A155" t="s">
        <v>14</v>
      </c>
      <c r="B155" t="s">
        <v>379</v>
      </c>
      <c r="C155" t="s">
        <v>380</v>
      </c>
      <c r="D155">
        <v>29</v>
      </c>
      <c r="E155" s="1">
        <v>35600</v>
      </c>
      <c r="F155" t="s">
        <v>104</v>
      </c>
      <c r="G155" t="s">
        <v>86</v>
      </c>
      <c r="H155">
        <v>10000</v>
      </c>
      <c r="I155">
        <v>25500</v>
      </c>
      <c r="J155" t="s">
        <v>17</v>
      </c>
      <c r="K155">
        <v>15</v>
      </c>
      <c r="M155" t="s">
        <v>17</v>
      </c>
      <c r="N155">
        <v>66000</v>
      </c>
    </row>
    <row r="156" spans="1:14">
      <c r="A156" t="s">
        <v>76</v>
      </c>
      <c r="B156" t="s">
        <v>381</v>
      </c>
      <c r="C156" t="s">
        <v>382</v>
      </c>
      <c r="D156">
        <v>26</v>
      </c>
      <c r="E156" s="1">
        <v>36671</v>
      </c>
      <c r="F156" t="s">
        <v>180</v>
      </c>
      <c r="G156" t="s">
        <v>185</v>
      </c>
      <c r="H156">
        <v>25000</v>
      </c>
      <c r="I156">
        <v>1000</v>
      </c>
      <c r="J156" t="s">
        <v>17</v>
      </c>
      <c r="K156">
        <v>16</v>
      </c>
      <c r="M156" t="s">
        <v>17</v>
      </c>
      <c r="N156">
        <v>10500</v>
      </c>
    </row>
    <row r="157" spans="1:14">
      <c r="A157" t="s">
        <v>230</v>
      </c>
      <c r="B157" t="s">
        <v>381</v>
      </c>
      <c r="C157" t="s">
        <v>383</v>
      </c>
      <c r="D157">
        <v>52</v>
      </c>
      <c r="E157" s="1">
        <v>27088</v>
      </c>
      <c r="F157" t="s">
        <v>180</v>
      </c>
      <c r="G157" t="s">
        <v>132</v>
      </c>
      <c r="H157">
        <v>24900</v>
      </c>
      <c r="I157">
        <v>0</v>
      </c>
      <c r="J157" t="s">
        <v>17</v>
      </c>
      <c r="K157" t="s">
        <v>384</v>
      </c>
      <c r="M157" t="s">
        <v>17</v>
      </c>
      <c r="N157">
        <v>16000</v>
      </c>
    </row>
    <row r="158" spans="1:14">
      <c r="A158" t="s">
        <v>28</v>
      </c>
      <c r="B158" t="s">
        <v>385</v>
      </c>
      <c r="C158" t="s">
        <v>386</v>
      </c>
      <c r="D158">
        <v>48</v>
      </c>
      <c r="E158" s="1">
        <v>28737</v>
      </c>
      <c r="F158" t="s">
        <v>104</v>
      </c>
      <c r="G158" t="s">
        <v>70</v>
      </c>
      <c r="H158">
        <v>12400</v>
      </c>
      <c r="I158">
        <v>0</v>
      </c>
      <c r="J158" t="s">
        <v>17</v>
      </c>
      <c r="K158">
        <v>25</v>
      </c>
      <c r="M158" t="s">
        <v>17</v>
      </c>
      <c r="N158">
        <v>65500</v>
      </c>
    </row>
    <row r="159" spans="1:14">
      <c r="A159" t="s">
        <v>28</v>
      </c>
      <c r="B159" t="s">
        <v>387</v>
      </c>
      <c r="C159" t="s">
        <v>388</v>
      </c>
      <c r="D159">
        <v>39</v>
      </c>
      <c r="E159" s="1">
        <v>31693</v>
      </c>
      <c r="F159" t="s">
        <v>91</v>
      </c>
      <c r="G159" t="s">
        <v>92</v>
      </c>
      <c r="H159">
        <v>22200</v>
      </c>
      <c r="I159">
        <v>0</v>
      </c>
      <c r="J159" t="s">
        <v>65</v>
      </c>
      <c r="K159">
        <v>3</v>
      </c>
      <c r="M159" t="s">
        <v>65</v>
      </c>
      <c r="N159">
        <v>7000</v>
      </c>
    </row>
    <row r="160" spans="1:14">
      <c r="A160" t="s">
        <v>14</v>
      </c>
      <c r="B160" t="s">
        <v>387</v>
      </c>
      <c r="C160" t="s">
        <v>389</v>
      </c>
      <c r="D160">
        <v>63</v>
      </c>
      <c r="E160" s="1">
        <v>23156</v>
      </c>
      <c r="F160" t="s">
        <v>135</v>
      </c>
      <c r="H160" t="s">
        <v>390</v>
      </c>
      <c r="I160">
        <v>8500</v>
      </c>
      <c r="J160" t="s">
        <v>72</v>
      </c>
      <c r="K160">
        <v>39</v>
      </c>
      <c r="M160" t="s">
        <v>72</v>
      </c>
      <c r="N160">
        <v>36500</v>
      </c>
    </row>
    <row r="161" spans="1:14">
      <c r="A161" t="s">
        <v>14</v>
      </c>
      <c r="B161" t="s">
        <v>391</v>
      </c>
      <c r="C161" t="s">
        <v>392</v>
      </c>
      <c r="D161">
        <v>49</v>
      </c>
      <c r="E161" s="1">
        <v>28147</v>
      </c>
      <c r="F161" t="s">
        <v>104</v>
      </c>
      <c r="G161" t="s">
        <v>105</v>
      </c>
      <c r="H161">
        <v>28400</v>
      </c>
      <c r="I161" s="3">
        <v>38500</v>
      </c>
      <c r="J161" t="s">
        <v>125</v>
      </c>
      <c r="K161" t="s">
        <v>393</v>
      </c>
      <c r="M161" t="s">
        <v>125</v>
      </c>
      <c r="N161">
        <v>51000</v>
      </c>
    </row>
    <row r="162" spans="1:14">
      <c r="A162" t="s">
        <v>14</v>
      </c>
      <c r="B162" t="s">
        <v>394</v>
      </c>
      <c r="C162" t="s">
        <v>395</v>
      </c>
      <c r="D162">
        <v>44</v>
      </c>
      <c r="E162" s="1">
        <v>30069</v>
      </c>
      <c r="F162" t="s">
        <v>25</v>
      </c>
      <c r="G162" t="s">
        <v>55</v>
      </c>
      <c r="H162">
        <v>21700</v>
      </c>
      <c r="I162">
        <v>34500</v>
      </c>
      <c r="J162" t="s">
        <v>27</v>
      </c>
      <c r="K162">
        <v>29</v>
      </c>
      <c r="M162" t="s">
        <v>27</v>
      </c>
      <c r="N162">
        <v>10500</v>
      </c>
    </row>
    <row r="163" spans="1:14">
      <c r="A163" t="s">
        <v>28</v>
      </c>
      <c r="B163" t="s">
        <v>394</v>
      </c>
      <c r="C163" t="s">
        <v>396</v>
      </c>
      <c r="D163">
        <v>62</v>
      </c>
      <c r="E163" s="1">
        <v>23259</v>
      </c>
      <c r="F163" t="s">
        <v>69</v>
      </c>
      <c r="G163" t="s">
        <v>320</v>
      </c>
      <c r="I163">
        <v>0</v>
      </c>
      <c r="J163" t="s">
        <v>65</v>
      </c>
      <c r="K163" t="s">
        <v>397</v>
      </c>
      <c r="M163" t="s">
        <v>65</v>
      </c>
      <c r="N163">
        <v>12000</v>
      </c>
    </row>
    <row r="164" spans="1:14">
      <c r="A164" t="s">
        <v>14</v>
      </c>
      <c r="B164" t="s">
        <v>398</v>
      </c>
      <c r="C164" t="s">
        <v>399</v>
      </c>
      <c r="D164">
        <v>37</v>
      </c>
      <c r="E164" s="1">
        <v>32414</v>
      </c>
      <c r="F164" t="s">
        <v>400</v>
      </c>
      <c r="H164">
        <v>12800</v>
      </c>
      <c r="I164">
        <v>76500</v>
      </c>
      <c r="J164" t="s">
        <v>17</v>
      </c>
      <c r="K164" t="s">
        <v>401</v>
      </c>
      <c r="M164" t="s">
        <v>17</v>
      </c>
      <c r="N164">
        <v>18500</v>
      </c>
    </row>
    <row r="165" spans="1:14">
      <c r="A165" t="s">
        <v>14</v>
      </c>
      <c r="B165" t="s">
        <v>398</v>
      </c>
      <c r="C165" t="s">
        <v>399</v>
      </c>
      <c r="D165">
        <v>37</v>
      </c>
      <c r="E165" s="1">
        <v>32414</v>
      </c>
      <c r="F165" t="s">
        <v>400</v>
      </c>
      <c r="H165">
        <v>12800</v>
      </c>
      <c r="I165">
        <v>76500</v>
      </c>
      <c r="J165" t="s">
        <v>17</v>
      </c>
      <c r="K165" t="s">
        <v>401</v>
      </c>
      <c r="M165" t="s">
        <v>17</v>
      </c>
      <c r="N165">
        <v>95000</v>
      </c>
    </row>
    <row r="166" spans="1:14">
      <c r="A166" t="s">
        <v>14</v>
      </c>
      <c r="B166" t="s">
        <v>398</v>
      </c>
      <c r="C166" t="s">
        <v>402</v>
      </c>
      <c r="D166">
        <v>53</v>
      </c>
      <c r="E166" s="1">
        <v>26558</v>
      </c>
      <c r="F166" t="s">
        <v>69</v>
      </c>
      <c r="G166" t="s">
        <v>320</v>
      </c>
      <c r="H166">
        <v>15500</v>
      </c>
      <c r="J166" t="s">
        <v>17</v>
      </c>
      <c r="K166">
        <v>16</v>
      </c>
      <c r="M166" t="s">
        <v>17</v>
      </c>
      <c r="N166">
        <v>41000</v>
      </c>
    </row>
    <row r="167" spans="1:14">
      <c r="A167" t="s">
        <v>14</v>
      </c>
      <c r="B167" t="s">
        <v>403</v>
      </c>
      <c r="C167">
        <v>16500</v>
      </c>
      <c r="D167">
        <v>37</v>
      </c>
      <c r="E167" s="1">
        <v>32513</v>
      </c>
      <c r="F167" t="s">
        <v>275</v>
      </c>
      <c r="G167" t="s">
        <v>146</v>
      </c>
      <c r="H167" s="2">
        <v>2600</v>
      </c>
      <c r="I167" t="s">
        <v>22</v>
      </c>
      <c r="J167" t="s">
        <v>17</v>
      </c>
      <c r="K167">
        <v>5</v>
      </c>
      <c r="M167" t="s">
        <v>17</v>
      </c>
      <c r="N167">
        <v>16500</v>
      </c>
    </row>
    <row r="168" spans="1:14">
      <c r="A168" t="s">
        <v>28</v>
      </c>
      <c r="B168" t="s">
        <v>403</v>
      </c>
      <c r="C168">
        <v>4000</v>
      </c>
      <c r="D168">
        <v>48</v>
      </c>
      <c r="E168" s="1">
        <v>28663</v>
      </c>
      <c r="F168" t="s">
        <v>104</v>
      </c>
      <c r="G168" t="s">
        <v>70</v>
      </c>
      <c r="H168">
        <v>24700</v>
      </c>
      <c r="I168">
        <v>30500</v>
      </c>
      <c r="J168" t="s">
        <v>17</v>
      </c>
      <c r="K168">
        <v>34</v>
      </c>
      <c r="M168" t="s">
        <v>17</v>
      </c>
      <c r="N168">
        <v>87500</v>
      </c>
    </row>
    <row r="169" spans="1:14">
      <c r="A169" t="s">
        <v>195</v>
      </c>
      <c r="B169" t="s">
        <v>404</v>
      </c>
      <c r="C169">
        <v>20700</v>
      </c>
      <c r="D169">
        <v>66</v>
      </c>
      <c r="E169" s="1">
        <v>22151</v>
      </c>
      <c r="F169" t="s">
        <v>142</v>
      </c>
      <c r="H169" t="s">
        <v>405</v>
      </c>
      <c r="I169">
        <v>16000</v>
      </c>
      <c r="J169" t="s">
        <v>65</v>
      </c>
      <c r="K169">
        <v>44</v>
      </c>
      <c r="M169" t="s">
        <v>65</v>
      </c>
      <c r="N169">
        <v>59000</v>
      </c>
    </row>
    <row r="170" spans="1:14">
      <c r="A170" t="s">
        <v>14</v>
      </c>
      <c r="B170" t="s">
        <v>406</v>
      </c>
      <c r="C170" t="s">
        <v>407</v>
      </c>
      <c r="D170">
        <v>43</v>
      </c>
      <c r="E170" s="1">
        <v>30437</v>
      </c>
      <c r="F170" t="s">
        <v>104</v>
      </c>
      <c r="G170" t="s">
        <v>70</v>
      </c>
      <c r="H170">
        <v>14600</v>
      </c>
      <c r="I170">
        <v>18500</v>
      </c>
      <c r="J170" t="s">
        <v>330</v>
      </c>
      <c r="K170">
        <v>22</v>
      </c>
      <c r="M170" t="s">
        <v>330</v>
      </c>
      <c r="N170">
        <v>16500</v>
      </c>
    </row>
    <row r="171" spans="1:14">
      <c r="A171" t="s">
        <v>28</v>
      </c>
      <c r="B171" t="s">
        <v>408</v>
      </c>
      <c r="C171" t="s">
        <v>409</v>
      </c>
      <c r="D171">
        <v>68</v>
      </c>
      <c r="E171" s="1">
        <v>21205</v>
      </c>
      <c r="F171" t="s">
        <v>20</v>
      </c>
      <c r="G171" t="s">
        <v>21</v>
      </c>
      <c r="H171">
        <v>8200</v>
      </c>
      <c r="I171" s="2">
        <v>66000</v>
      </c>
      <c r="J171" t="s">
        <v>17</v>
      </c>
      <c r="K171">
        <v>16</v>
      </c>
      <c r="M171" t="s">
        <v>17</v>
      </c>
      <c r="N171">
        <v>84000</v>
      </c>
    </row>
    <row r="172" spans="1:14">
      <c r="A172" t="s">
        <v>14</v>
      </c>
      <c r="B172" t="s">
        <v>410</v>
      </c>
      <c r="C172" t="s">
        <v>411</v>
      </c>
      <c r="D172">
        <v>51</v>
      </c>
      <c r="E172" s="1">
        <v>27505</v>
      </c>
      <c r="F172" t="s">
        <v>412</v>
      </c>
      <c r="H172" s="2">
        <v>7200</v>
      </c>
      <c r="I172" t="s">
        <v>413</v>
      </c>
      <c r="J172" t="s">
        <v>65</v>
      </c>
      <c r="K172">
        <v>40</v>
      </c>
      <c r="M172" t="s">
        <v>65</v>
      </c>
      <c r="N172">
        <v>5500</v>
      </c>
    </row>
    <row r="173" spans="1:14">
      <c r="A173" t="s">
        <v>14</v>
      </c>
      <c r="B173" t="s">
        <v>414</v>
      </c>
      <c r="C173" t="s">
        <v>415</v>
      </c>
      <c r="D173">
        <v>58</v>
      </c>
      <c r="E173" s="1">
        <v>24911</v>
      </c>
      <c r="F173" t="s">
        <v>160</v>
      </c>
      <c r="G173" t="s">
        <v>55</v>
      </c>
      <c r="H173" s="2">
        <v>25400</v>
      </c>
      <c r="I173">
        <v>70500</v>
      </c>
      <c r="J173" t="s">
        <v>65</v>
      </c>
      <c r="K173">
        <v>11</v>
      </c>
      <c r="M173" t="s">
        <v>65</v>
      </c>
      <c r="N173">
        <v>47000</v>
      </c>
    </row>
    <row r="174" spans="1:14">
      <c r="A174" t="s">
        <v>28</v>
      </c>
      <c r="B174" t="s">
        <v>416</v>
      </c>
      <c r="C174" t="s">
        <v>417</v>
      </c>
      <c r="D174">
        <v>30</v>
      </c>
      <c r="E174" s="1">
        <v>35213</v>
      </c>
      <c r="F174" t="s">
        <v>418</v>
      </c>
      <c r="H174">
        <v>3900</v>
      </c>
      <c r="I174">
        <v>45000</v>
      </c>
      <c r="J174" t="s">
        <v>17</v>
      </c>
      <c r="K174">
        <v>34</v>
      </c>
      <c r="M174" t="s">
        <v>17</v>
      </c>
      <c r="N174">
        <v>41500</v>
      </c>
    </row>
    <row r="175" spans="1:14">
      <c r="A175" t="s">
        <v>14</v>
      </c>
      <c r="B175" t="s">
        <v>419</v>
      </c>
      <c r="C175" t="s">
        <v>420</v>
      </c>
      <c r="D175">
        <v>68</v>
      </c>
      <c r="E175" s="1">
        <v>21145</v>
      </c>
      <c r="F175" t="s">
        <v>99</v>
      </c>
      <c r="G175" t="s">
        <v>41</v>
      </c>
      <c r="H175">
        <v>29000</v>
      </c>
      <c r="I175">
        <v>67500</v>
      </c>
      <c r="J175" t="s">
        <v>17</v>
      </c>
      <c r="K175">
        <v>25</v>
      </c>
      <c r="M175" t="s">
        <v>17</v>
      </c>
      <c r="N175">
        <v>18000</v>
      </c>
    </row>
    <row r="176" spans="1:14">
      <c r="A176" t="s">
        <v>14</v>
      </c>
      <c r="B176" t="s">
        <v>421</v>
      </c>
      <c r="C176" t="s">
        <v>422</v>
      </c>
      <c r="D176">
        <v>49</v>
      </c>
      <c r="E176" s="1">
        <v>28067</v>
      </c>
      <c r="F176" t="s">
        <v>44</v>
      </c>
      <c r="G176" t="s">
        <v>79</v>
      </c>
      <c r="H176">
        <v>29800</v>
      </c>
      <c r="I176" s="3">
        <v>54500</v>
      </c>
      <c r="J176" t="s">
        <v>17</v>
      </c>
      <c r="K176">
        <v>34</v>
      </c>
      <c r="M176" t="s">
        <v>17</v>
      </c>
      <c r="N176">
        <v>72000</v>
      </c>
    </row>
    <row r="177" spans="1:14">
      <c r="A177" t="s">
        <v>14</v>
      </c>
      <c r="B177" t="s">
        <v>423</v>
      </c>
      <c r="C177">
        <v>27800</v>
      </c>
      <c r="D177">
        <v>38</v>
      </c>
      <c r="E177" s="1">
        <v>32152</v>
      </c>
      <c r="F177" t="s">
        <v>424</v>
      </c>
      <c r="H177">
        <v>2000</v>
      </c>
      <c r="I177">
        <v>60000</v>
      </c>
      <c r="J177" t="s">
        <v>17</v>
      </c>
      <c r="K177" t="s">
        <v>425</v>
      </c>
      <c r="M177" t="s">
        <v>17</v>
      </c>
      <c r="N177">
        <v>54000</v>
      </c>
    </row>
    <row r="178" spans="1:14">
      <c r="A178" t="s">
        <v>28</v>
      </c>
      <c r="B178" t="s">
        <v>426</v>
      </c>
      <c r="C178" t="s">
        <v>427</v>
      </c>
      <c r="D178">
        <v>30</v>
      </c>
      <c r="E178" s="1">
        <v>35200</v>
      </c>
      <c r="F178" t="s">
        <v>62</v>
      </c>
      <c r="G178" t="s">
        <v>48</v>
      </c>
      <c r="H178">
        <v>26500</v>
      </c>
      <c r="I178">
        <v>14500</v>
      </c>
      <c r="J178">
        <v>0</v>
      </c>
      <c r="K178">
        <v>15</v>
      </c>
      <c r="M178">
        <v>0</v>
      </c>
      <c r="N178">
        <v>65500</v>
      </c>
    </row>
    <row r="179" spans="1:14">
      <c r="A179" t="s">
        <v>28</v>
      </c>
      <c r="B179" t="s">
        <v>426</v>
      </c>
      <c r="C179" t="s">
        <v>427</v>
      </c>
      <c r="D179">
        <v>30</v>
      </c>
      <c r="E179" s="1">
        <v>35200</v>
      </c>
      <c r="F179" t="s">
        <v>62</v>
      </c>
      <c r="G179" t="s">
        <v>48</v>
      </c>
      <c r="H179">
        <v>26500</v>
      </c>
      <c r="I179">
        <v>14500</v>
      </c>
      <c r="J179">
        <v>0</v>
      </c>
      <c r="K179">
        <v>15</v>
      </c>
      <c r="M179">
        <v>0</v>
      </c>
      <c r="N179">
        <v>39000</v>
      </c>
    </row>
    <row r="180" spans="1:14">
      <c r="A180" t="s">
        <v>14</v>
      </c>
      <c r="B180" t="s">
        <v>428</v>
      </c>
      <c r="C180">
        <v>6300</v>
      </c>
      <c r="D180">
        <v>68</v>
      </c>
      <c r="F180" t="s">
        <v>69</v>
      </c>
      <c r="G180" t="s">
        <v>70</v>
      </c>
      <c r="H180" s="3">
        <v>19900</v>
      </c>
      <c r="I180">
        <v>35000</v>
      </c>
      <c r="J180" t="s">
        <v>125</v>
      </c>
      <c r="K180">
        <v>25</v>
      </c>
      <c r="M180" t="s">
        <v>125</v>
      </c>
      <c r="N180">
        <v>59500</v>
      </c>
    </row>
    <row r="181" spans="1:14">
      <c r="A181" t="s">
        <v>14</v>
      </c>
      <c r="B181" t="s">
        <v>429</v>
      </c>
      <c r="C181" t="s">
        <v>430</v>
      </c>
      <c r="D181">
        <v>27</v>
      </c>
      <c r="E181" s="1">
        <v>36308</v>
      </c>
      <c r="F181" t="s">
        <v>25</v>
      </c>
      <c r="G181" t="s">
        <v>55</v>
      </c>
      <c r="H181">
        <v>5300</v>
      </c>
      <c r="I181" t="s">
        <v>431</v>
      </c>
      <c r="J181" t="s">
        <v>27</v>
      </c>
      <c r="K181">
        <v>11</v>
      </c>
      <c r="M181" t="s">
        <v>27</v>
      </c>
      <c r="N181">
        <v>28500</v>
      </c>
    </row>
    <row r="182" spans="1:14">
      <c r="A182" t="s">
        <v>14</v>
      </c>
      <c r="B182" t="s">
        <v>429</v>
      </c>
      <c r="C182" t="s">
        <v>430</v>
      </c>
      <c r="D182">
        <v>27</v>
      </c>
      <c r="E182" s="1">
        <v>36308</v>
      </c>
      <c r="F182" t="s">
        <v>25</v>
      </c>
      <c r="G182" t="s">
        <v>55</v>
      </c>
      <c r="H182">
        <v>5300</v>
      </c>
      <c r="I182" t="s">
        <v>431</v>
      </c>
      <c r="J182" t="s">
        <v>27</v>
      </c>
      <c r="K182">
        <v>11</v>
      </c>
      <c r="M182" t="s">
        <v>27</v>
      </c>
      <c r="N182">
        <v>4500</v>
      </c>
    </row>
    <row r="183" spans="1:14">
      <c r="A183" t="s">
        <v>14</v>
      </c>
      <c r="B183" t="s">
        <v>432</v>
      </c>
      <c r="C183" t="s">
        <v>433</v>
      </c>
      <c r="D183">
        <v>69</v>
      </c>
      <c r="F183" t="s">
        <v>62</v>
      </c>
      <c r="G183" t="s">
        <v>31</v>
      </c>
      <c r="H183" s="3">
        <v>4500</v>
      </c>
      <c r="I183">
        <v>0</v>
      </c>
      <c r="J183" t="s">
        <v>65</v>
      </c>
      <c r="K183">
        <v>32</v>
      </c>
      <c r="M183" t="s">
        <v>65</v>
      </c>
      <c r="N183">
        <v>56500</v>
      </c>
    </row>
    <row r="184" spans="1:14">
      <c r="A184" t="s">
        <v>14</v>
      </c>
      <c r="B184" t="s">
        <v>434</v>
      </c>
      <c r="C184" t="s">
        <v>435</v>
      </c>
      <c r="D184">
        <v>45</v>
      </c>
      <c r="E184" s="1">
        <v>29769</v>
      </c>
      <c r="F184" t="s">
        <v>180</v>
      </c>
      <c r="G184" t="s">
        <v>185</v>
      </c>
      <c r="H184">
        <v>24400</v>
      </c>
      <c r="I184" s="2">
        <v>7500</v>
      </c>
      <c r="J184" t="s">
        <v>125</v>
      </c>
      <c r="K184">
        <v>13</v>
      </c>
      <c r="M184" t="s">
        <v>125</v>
      </c>
      <c r="N184">
        <v>95000</v>
      </c>
    </row>
    <row r="185" spans="1:14">
      <c r="A185" t="s">
        <v>14</v>
      </c>
      <c r="B185" t="s">
        <v>436</v>
      </c>
      <c r="C185">
        <v>18000</v>
      </c>
      <c r="D185">
        <v>29</v>
      </c>
      <c r="E185" s="1">
        <v>35344</v>
      </c>
      <c r="F185" t="s">
        <v>51</v>
      </c>
      <c r="G185" t="s">
        <v>220</v>
      </c>
      <c r="H185">
        <v>19900</v>
      </c>
      <c r="I185">
        <v>49500</v>
      </c>
      <c r="J185" t="s">
        <v>65</v>
      </c>
      <c r="K185">
        <v>27</v>
      </c>
      <c r="M185" t="s">
        <v>65</v>
      </c>
      <c r="N185">
        <v>23000</v>
      </c>
    </row>
    <row r="186" spans="1:14">
      <c r="A186" t="s">
        <v>14</v>
      </c>
      <c r="B186" t="s">
        <v>437</v>
      </c>
      <c r="C186" t="s">
        <v>438</v>
      </c>
      <c r="D186">
        <v>28</v>
      </c>
      <c r="F186" t="s">
        <v>62</v>
      </c>
      <c r="G186" t="s">
        <v>31</v>
      </c>
      <c r="H186">
        <v>14500</v>
      </c>
      <c r="I186">
        <v>39500</v>
      </c>
      <c r="J186" t="s">
        <v>17</v>
      </c>
      <c r="K186">
        <v>18</v>
      </c>
      <c r="M186" t="s">
        <v>17</v>
      </c>
      <c r="N186">
        <v>32000</v>
      </c>
    </row>
    <row r="187" spans="1:14">
      <c r="A187" t="s">
        <v>28</v>
      </c>
      <c r="B187" t="s">
        <v>439</v>
      </c>
      <c r="C187" t="s">
        <v>440</v>
      </c>
      <c r="D187">
        <v>73</v>
      </c>
      <c r="F187" t="s">
        <v>40</v>
      </c>
      <c r="G187" t="s">
        <v>41</v>
      </c>
      <c r="H187" t="s">
        <v>441</v>
      </c>
      <c r="I187">
        <v>47000</v>
      </c>
      <c r="J187" t="s">
        <v>17</v>
      </c>
      <c r="K187">
        <v>19</v>
      </c>
      <c r="M187" t="s">
        <v>17</v>
      </c>
      <c r="N187">
        <v>20500</v>
      </c>
    </row>
    <row r="188" spans="1:14">
      <c r="A188" t="s">
        <v>14</v>
      </c>
      <c r="B188" t="s">
        <v>442</v>
      </c>
      <c r="C188">
        <v>17900</v>
      </c>
      <c r="D188">
        <v>44</v>
      </c>
      <c r="E188" s="1">
        <v>29991</v>
      </c>
      <c r="F188" t="s">
        <v>104</v>
      </c>
      <c r="H188">
        <v>6700</v>
      </c>
      <c r="I188">
        <v>16500</v>
      </c>
      <c r="J188" t="s">
        <v>65</v>
      </c>
      <c r="K188">
        <v>38</v>
      </c>
      <c r="M188" t="s">
        <v>65</v>
      </c>
      <c r="N188">
        <v>15500</v>
      </c>
    </row>
    <row r="189" spans="1:14">
      <c r="A189" t="s">
        <v>14</v>
      </c>
      <c r="B189" t="s">
        <v>443</v>
      </c>
      <c r="C189">
        <v>15100</v>
      </c>
      <c r="D189">
        <v>25</v>
      </c>
      <c r="E189" s="1">
        <v>37125</v>
      </c>
      <c r="F189" t="s">
        <v>34</v>
      </c>
      <c r="G189" t="s">
        <v>34</v>
      </c>
      <c r="H189">
        <v>2500</v>
      </c>
      <c r="I189">
        <v>72500</v>
      </c>
      <c r="J189" t="s">
        <v>17</v>
      </c>
      <c r="K189">
        <v>32</v>
      </c>
      <c r="M189" t="s">
        <v>17</v>
      </c>
      <c r="N189">
        <v>97000</v>
      </c>
    </row>
    <row r="190" spans="1:14">
      <c r="A190" t="s">
        <v>28</v>
      </c>
      <c r="B190" t="s">
        <v>444</v>
      </c>
      <c r="C190" t="s">
        <v>445</v>
      </c>
      <c r="D190">
        <v>31</v>
      </c>
      <c r="E190" s="1">
        <v>34738</v>
      </c>
      <c r="F190" t="s">
        <v>101</v>
      </c>
      <c r="G190" t="s">
        <v>21</v>
      </c>
      <c r="H190">
        <v>22600</v>
      </c>
      <c r="I190">
        <v>58000</v>
      </c>
      <c r="J190" t="s">
        <v>125</v>
      </c>
      <c r="K190" t="s">
        <v>446</v>
      </c>
      <c r="M190" t="s">
        <v>125</v>
      </c>
      <c r="N190">
        <v>26500</v>
      </c>
    </row>
    <row r="191" spans="1:14">
      <c r="A191" t="s">
        <v>14</v>
      </c>
      <c r="B191" t="s">
        <v>447</v>
      </c>
      <c r="C191" t="s">
        <v>448</v>
      </c>
      <c r="D191">
        <v>36</v>
      </c>
      <c r="E191" s="1">
        <v>32791</v>
      </c>
      <c r="F191" t="s">
        <v>20</v>
      </c>
      <c r="G191" t="s">
        <v>235</v>
      </c>
      <c r="H191">
        <v>23900</v>
      </c>
      <c r="I191">
        <v>58000</v>
      </c>
      <c r="J191" t="s">
        <v>17</v>
      </c>
      <c r="K191">
        <v>27</v>
      </c>
      <c r="M191" t="s">
        <v>17</v>
      </c>
      <c r="N191">
        <v>38000</v>
      </c>
    </row>
    <row r="192" spans="1:14">
      <c r="A192" t="s">
        <v>28</v>
      </c>
      <c r="B192" t="s">
        <v>449</v>
      </c>
      <c r="C192">
        <v>19200</v>
      </c>
      <c r="D192">
        <v>50</v>
      </c>
      <c r="E192" s="1">
        <v>27833</v>
      </c>
      <c r="F192" t="s">
        <v>82</v>
      </c>
      <c r="H192">
        <v>16200</v>
      </c>
      <c r="I192" s="2">
        <v>25000</v>
      </c>
      <c r="J192" t="s">
        <v>27</v>
      </c>
      <c r="K192">
        <v>26</v>
      </c>
      <c r="M192" t="s">
        <v>27</v>
      </c>
      <c r="N192">
        <v>65000</v>
      </c>
    </row>
    <row r="193" spans="1:14">
      <c r="A193" t="s">
        <v>14</v>
      </c>
      <c r="B193" t="s">
        <v>450</v>
      </c>
      <c r="C193" t="s">
        <v>451</v>
      </c>
      <c r="D193">
        <v>63</v>
      </c>
      <c r="E193" s="1">
        <v>23231</v>
      </c>
      <c r="F193" t="s">
        <v>242</v>
      </c>
      <c r="G193" t="s">
        <v>41</v>
      </c>
      <c r="H193">
        <v>16800</v>
      </c>
      <c r="I193">
        <v>0</v>
      </c>
      <c r="K193">
        <v>32</v>
      </c>
      <c r="N193">
        <v>61500</v>
      </c>
    </row>
    <row r="194" spans="1:14">
      <c r="A194" t="s">
        <v>14</v>
      </c>
      <c r="B194" t="s">
        <v>452</v>
      </c>
      <c r="C194" t="s">
        <v>453</v>
      </c>
      <c r="D194">
        <v>22</v>
      </c>
      <c r="E194" s="1">
        <v>38079</v>
      </c>
      <c r="F194" t="s">
        <v>180</v>
      </c>
      <c r="G194" t="s">
        <v>38</v>
      </c>
      <c r="H194">
        <v>9200</v>
      </c>
      <c r="I194" s="2">
        <v>5000</v>
      </c>
      <c r="J194" t="s">
        <v>17</v>
      </c>
      <c r="K194">
        <v>42</v>
      </c>
      <c r="M194" t="s">
        <v>17</v>
      </c>
      <c r="N194">
        <v>63500</v>
      </c>
    </row>
    <row r="195" spans="1:14">
      <c r="A195" t="s">
        <v>14</v>
      </c>
      <c r="B195" t="s">
        <v>454</v>
      </c>
      <c r="C195" t="s">
        <v>455</v>
      </c>
      <c r="D195">
        <v>34</v>
      </c>
      <c r="E195" s="1">
        <v>33624</v>
      </c>
      <c r="F195" t="s">
        <v>44</v>
      </c>
      <c r="G195" t="s">
        <v>282</v>
      </c>
      <c r="H195">
        <v>8000</v>
      </c>
      <c r="I195" s="3">
        <v>14500</v>
      </c>
      <c r="J195" t="s">
        <v>65</v>
      </c>
      <c r="K195">
        <v>9</v>
      </c>
      <c r="M195" t="s">
        <v>65</v>
      </c>
      <c r="N195">
        <v>17500</v>
      </c>
    </row>
    <row r="196" spans="1:14">
      <c r="A196" t="s">
        <v>28</v>
      </c>
      <c r="B196" t="s">
        <v>456</v>
      </c>
      <c r="C196" t="s">
        <v>457</v>
      </c>
      <c r="D196">
        <v>31</v>
      </c>
      <c r="E196" s="1">
        <v>34824</v>
      </c>
      <c r="F196" t="s">
        <v>37</v>
      </c>
      <c r="G196" t="s">
        <v>38</v>
      </c>
      <c r="H196" s="2">
        <v>29500</v>
      </c>
      <c r="I196">
        <v>5000</v>
      </c>
      <c r="J196" t="s">
        <v>17</v>
      </c>
      <c r="K196">
        <v>22</v>
      </c>
      <c r="M196" t="s">
        <v>17</v>
      </c>
      <c r="N196">
        <v>18000</v>
      </c>
    </row>
    <row r="197" spans="1:14">
      <c r="B197" t="s">
        <v>458</v>
      </c>
      <c r="C197" t="s">
        <v>459</v>
      </c>
      <c r="D197">
        <v>63</v>
      </c>
      <c r="E197" s="1">
        <v>22974</v>
      </c>
      <c r="F197" t="s">
        <v>34</v>
      </c>
      <c r="G197" t="s">
        <v>460</v>
      </c>
      <c r="H197" s="2">
        <v>14700</v>
      </c>
      <c r="I197">
        <v>0</v>
      </c>
      <c r="J197" t="s">
        <v>330</v>
      </c>
      <c r="K197">
        <v>40</v>
      </c>
      <c r="M197" t="s">
        <v>330</v>
      </c>
      <c r="N197">
        <v>83500</v>
      </c>
    </row>
    <row r="198" spans="1:14">
      <c r="A198" t="s">
        <v>14</v>
      </c>
      <c r="B198" t="s">
        <v>461</v>
      </c>
      <c r="C198" t="s">
        <v>462</v>
      </c>
      <c r="D198">
        <v>53</v>
      </c>
      <c r="E198" s="1">
        <v>26584</v>
      </c>
      <c r="F198" t="s">
        <v>99</v>
      </c>
      <c r="G198" t="s">
        <v>41</v>
      </c>
      <c r="H198">
        <v>12200</v>
      </c>
      <c r="I198" s="2">
        <v>79500</v>
      </c>
      <c r="J198" t="s">
        <v>125</v>
      </c>
      <c r="K198">
        <v>45</v>
      </c>
      <c r="M198" t="s">
        <v>125</v>
      </c>
      <c r="N198">
        <v>57000</v>
      </c>
    </row>
    <row r="199" spans="1:14">
      <c r="A199" t="s">
        <v>14</v>
      </c>
      <c r="B199" t="s">
        <v>461</v>
      </c>
      <c r="C199" t="s">
        <v>462</v>
      </c>
      <c r="D199">
        <v>53</v>
      </c>
      <c r="E199" s="1">
        <v>26584</v>
      </c>
      <c r="F199" t="s">
        <v>99</v>
      </c>
      <c r="G199" t="s">
        <v>41</v>
      </c>
      <c r="H199">
        <v>12200</v>
      </c>
      <c r="I199" s="2">
        <v>79500</v>
      </c>
      <c r="J199" t="s">
        <v>125</v>
      </c>
      <c r="K199">
        <v>45</v>
      </c>
      <c r="M199" t="s">
        <v>125</v>
      </c>
      <c r="N199">
        <v>62000</v>
      </c>
    </row>
    <row r="200" spans="1:14">
      <c r="A200" t="s">
        <v>14</v>
      </c>
      <c r="B200" t="s">
        <v>463</v>
      </c>
      <c r="C200" t="s">
        <v>464</v>
      </c>
      <c r="E200" s="1">
        <v>19168</v>
      </c>
      <c r="F200" t="s">
        <v>44</v>
      </c>
      <c r="G200" t="s">
        <v>79</v>
      </c>
      <c r="H200">
        <v>25000</v>
      </c>
      <c r="I200">
        <v>0</v>
      </c>
      <c r="J200" t="s">
        <v>17</v>
      </c>
      <c r="K200">
        <v>3</v>
      </c>
      <c r="M200" t="s">
        <v>17</v>
      </c>
      <c r="N200">
        <v>2500</v>
      </c>
    </row>
    <row r="201" spans="1:14">
      <c r="A201" t="s">
        <v>14</v>
      </c>
      <c r="B201" t="s">
        <v>465</v>
      </c>
      <c r="C201" t="s">
        <v>466</v>
      </c>
      <c r="D201">
        <v>69</v>
      </c>
      <c r="E201" s="1">
        <v>21051</v>
      </c>
      <c r="F201" t="s">
        <v>180</v>
      </c>
      <c r="G201" t="s">
        <v>38</v>
      </c>
      <c r="H201" t="s">
        <v>467</v>
      </c>
      <c r="I201">
        <v>40500</v>
      </c>
      <c r="J201" t="s">
        <v>17</v>
      </c>
      <c r="K201">
        <v>43</v>
      </c>
      <c r="M201" t="s">
        <v>17</v>
      </c>
      <c r="N201">
        <v>24500</v>
      </c>
    </row>
    <row r="202" spans="1:14">
      <c r="A202" t="s">
        <v>28</v>
      </c>
      <c r="B202" t="s">
        <v>468</v>
      </c>
      <c r="C202" t="s">
        <v>469</v>
      </c>
      <c r="D202">
        <v>58</v>
      </c>
      <c r="E202" s="1">
        <v>25054</v>
      </c>
      <c r="F202" t="s">
        <v>104</v>
      </c>
      <c r="G202" t="s">
        <v>320</v>
      </c>
      <c r="H202" s="2">
        <v>4500</v>
      </c>
      <c r="I202" s="2">
        <v>20000</v>
      </c>
      <c r="J202" t="s">
        <v>65</v>
      </c>
      <c r="K202">
        <v>9</v>
      </c>
      <c r="M202" t="s">
        <v>65</v>
      </c>
      <c r="N202">
        <v>49000</v>
      </c>
    </row>
    <row r="203" spans="1:14">
      <c r="A203" t="s">
        <v>14</v>
      </c>
      <c r="B203" t="s">
        <v>470</v>
      </c>
      <c r="C203" t="s">
        <v>471</v>
      </c>
      <c r="D203">
        <v>22</v>
      </c>
      <c r="F203" t="s">
        <v>30</v>
      </c>
      <c r="G203" t="s">
        <v>31</v>
      </c>
      <c r="H203">
        <v>14400</v>
      </c>
      <c r="I203">
        <v>0</v>
      </c>
      <c r="J203" t="s">
        <v>17</v>
      </c>
      <c r="K203" t="s">
        <v>245</v>
      </c>
      <c r="M203" t="s">
        <v>17</v>
      </c>
      <c r="N203">
        <v>33500</v>
      </c>
    </row>
    <row r="204" spans="1:14">
      <c r="A204" t="s">
        <v>14</v>
      </c>
      <c r="B204" t="s">
        <v>472</v>
      </c>
      <c r="C204" t="s">
        <v>473</v>
      </c>
      <c r="D204">
        <v>40</v>
      </c>
      <c r="E204" s="1">
        <v>31647</v>
      </c>
      <c r="F204" t="s">
        <v>99</v>
      </c>
      <c r="G204" t="s">
        <v>41</v>
      </c>
      <c r="H204" s="2">
        <v>18700</v>
      </c>
      <c r="I204">
        <v>15000</v>
      </c>
      <c r="K204">
        <v>26</v>
      </c>
      <c r="N204">
        <v>89500</v>
      </c>
    </row>
    <row r="205" spans="1:14">
      <c r="A205" t="s">
        <v>14</v>
      </c>
      <c r="B205" t="s">
        <v>474</v>
      </c>
      <c r="C205" t="s">
        <v>475</v>
      </c>
      <c r="D205">
        <v>29</v>
      </c>
      <c r="E205" s="1">
        <v>35392</v>
      </c>
      <c r="F205" t="s">
        <v>150</v>
      </c>
      <c r="H205" t="s">
        <v>476</v>
      </c>
      <c r="I205">
        <v>19500</v>
      </c>
      <c r="J205" t="s">
        <v>17</v>
      </c>
      <c r="K205">
        <v>30</v>
      </c>
      <c r="M205" t="s">
        <v>17</v>
      </c>
      <c r="N205">
        <v>51000</v>
      </c>
    </row>
    <row r="206" spans="1:14">
      <c r="A206" t="s">
        <v>28</v>
      </c>
      <c r="B206" t="s">
        <v>477</v>
      </c>
      <c r="C206" t="s">
        <v>478</v>
      </c>
      <c r="D206">
        <v>53</v>
      </c>
      <c r="E206" s="1">
        <v>26629</v>
      </c>
      <c r="F206" t="s">
        <v>75</v>
      </c>
      <c r="G206" t="s">
        <v>172</v>
      </c>
      <c r="H206" s="3">
        <v>16500</v>
      </c>
      <c r="I206" s="2">
        <v>4000</v>
      </c>
      <c r="J206" t="s">
        <v>17</v>
      </c>
      <c r="K206">
        <v>14</v>
      </c>
      <c r="M206" t="s">
        <v>17</v>
      </c>
      <c r="N206">
        <v>36000</v>
      </c>
    </row>
    <row r="207" spans="1:14">
      <c r="A207" t="s">
        <v>28</v>
      </c>
      <c r="B207" t="s">
        <v>479</v>
      </c>
      <c r="C207" t="s">
        <v>480</v>
      </c>
      <c r="D207">
        <v>31</v>
      </c>
      <c r="E207" s="1">
        <v>34885</v>
      </c>
      <c r="F207" t="s">
        <v>69</v>
      </c>
      <c r="G207" t="s">
        <v>70</v>
      </c>
      <c r="H207" s="3">
        <v>16400</v>
      </c>
      <c r="I207" t="s">
        <v>481</v>
      </c>
      <c r="J207" t="s">
        <v>72</v>
      </c>
      <c r="K207">
        <v>6</v>
      </c>
      <c r="M207" t="s">
        <v>72</v>
      </c>
      <c r="N207">
        <v>49500</v>
      </c>
    </row>
    <row r="208" spans="1:14">
      <c r="A208" t="s">
        <v>14</v>
      </c>
      <c r="B208" t="s">
        <v>482</v>
      </c>
      <c r="C208" t="s">
        <v>483</v>
      </c>
      <c r="D208">
        <v>22</v>
      </c>
      <c r="E208" s="1">
        <v>38204</v>
      </c>
      <c r="F208" t="s">
        <v>51</v>
      </c>
      <c r="G208" t="s">
        <v>52</v>
      </c>
      <c r="H208">
        <v>10500</v>
      </c>
      <c r="I208" s="3">
        <v>50500</v>
      </c>
      <c r="J208" t="s">
        <v>17</v>
      </c>
      <c r="K208">
        <v>16</v>
      </c>
      <c r="M208" t="s">
        <v>17</v>
      </c>
      <c r="N208">
        <v>41500</v>
      </c>
    </row>
    <row r="209" spans="1:14">
      <c r="A209" t="s">
        <v>14</v>
      </c>
      <c r="B209" t="s">
        <v>484</v>
      </c>
      <c r="C209" t="s">
        <v>485</v>
      </c>
      <c r="D209">
        <v>31</v>
      </c>
      <c r="E209" s="1">
        <v>34852</v>
      </c>
      <c r="F209" t="s">
        <v>142</v>
      </c>
      <c r="H209">
        <v>20500</v>
      </c>
      <c r="I209" s="2">
        <v>47500</v>
      </c>
      <c r="J209" t="s">
        <v>17</v>
      </c>
      <c r="K209">
        <v>11</v>
      </c>
      <c r="M209" t="s">
        <v>17</v>
      </c>
      <c r="N209">
        <v>18500</v>
      </c>
    </row>
    <row r="210" spans="1:14">
      <c r="A210" t="s">
        <v>14</v>
      </c>
      <c r="B210" t="s">
        <v>486</v>
      </c>
      <c r="C210" t="s">
        <v>487</v>
      </c>
      <c r="D210">
        <v>58</v>
      </c>
      <c r="E210" s="1">
        <v>24905</v>
      </c>
      <c r="F210" t="s">
        <v>30</v>
      </c>
      <c r="G210" t="s">
        <v>48</v>
      </c>
      <c r="H210" s="3">
        <v>12400</v>
      </c>
      <c r="I210" s="3">
        <v>21500</v>
      </c>
      <c r="J210" t="s">
        <v>65</v>
      </c>
      <c r="K210" t="s">
        <v>384</v>
      </c>
      <c r="M210" t="s">
        <v>65</v>
      </c>
      <c r="N210">
        <v>80000</v>
      </c>
    </row>
    <row r="211" spans="1:14">
      <c r="A211" t="s">
        <v>14</v>
      </c>
      <c r="B211" t="s">
        <v>488</v>
      </c>
      <c r="C211" t="s">
        <v>489</v>
      </c>
      <c r="D211">
        <v>56</v>
      </c>
      <c r="E211" s="1">
        <v>25671</v>
      </c>
      <c r="F211" t="s">
        <v>160</v>
      </c>
      <c r="G211" t="s">
        <v>55</v>
      </c>
      <c r="H211">
        <v>28300</v>
      </c>
      <c r="I211">
        <v>56000</v>
      </c>
      <c r="J211" t="s">
        <v>17</v>
      </c>
      <c r="K211">
        <v>6</v>
      </c>
      <c r="M211" t="s">
        <v>17</v>
      </c>
      <c r="N211">
        <v>77000</v>
      </c>
    </row>
    <row r="212" spans="1:14">
      <c r="A212" t="s">
        <v>14</v>
      </c>
      <c r="B212" t="s">
        <v>488</v>
      </c>
      <c r="C212" t="s">
        <v>489</v>
      </c>
      <c r="D212">
        <v>56</v>
      </c>
      <c r="E212" s="1">
        <v>25671</v>
      </c>
      <c r="F212" t="s">
        <v>160</v>
      </c>
      <c r="G212" t="s">
        <v>55</v>
      </c>
      <c r="H212">
        <v>28300</v>
      </c>
      <c r="I212">
        <v>56000</v>
      </c>
      <c r="J212" t="s">
        <v>17</v>
      </c>
      <c r="K212">
        <v>6</v>
      </c>
      <c r="M212" t="s">
        <v>17</v>
      </c>
      <c r="N212">
        <v>84500</v>
      </c>
    </row>
    <row r="213" spans="1:14">
      <c r="A213" t="s">
        <v>28</v>
      </c>
      <c r="B213" t="s">
        <v>490</v>
      </c>
      <c r="C213">
        <v>34000</v>
      </c>
      <c r="D213">
        <v>38</v>
      </c>
      <c r="E213" s="1">
        <v>32118</v>
      </c>
      <c r="F213" t="s">
        <v>180</v>
      </c>
      <c r="G213" t="s">
        <v>491</v>
      </c>
      <c r="H213" s="3">
        <v>15800</v>
      </c>
      <c r="I213">
        <v>14500</v>
      </c>
      <c r="J213" t="s">
        <v>17</v>
      </c>
      <c r="K213">
        <v>4</v>
      </c>
      <c r="M213" t="s">
        <v>17</v>
      </c>
      <c r="N213">
        <v>21000</v>
      </c>
    </row>
    <row r="214" spans="1:14">
      <c r="A214" t="s">
        <v>14</v>
      </c>
      <c r="B214" t="s">
        <v>490</v>
      </c>
      <c r="C214">
        <v>30500</v>
      </c>
      <c r="D214">
        <v>62</v>
      </c>
      <c r="E214" s="1">
        <v>23278</v>
      </c>
      <c r="F214" t="s">
        <v>40</v>
      </c>
      <c r="G214" t="s">
        <v>41</v>
      </c>
      <c r="H214">
        <v>17000</v>
      </c>
      <c r="I214">
        <v>64000</v>
      </c>
      <c r="J214" t="s">
        <v>65</v>
      </c>
      <c r="K214">
        <v>21</v>
      </c>
      <c r="M214" t="s">
        <v>65</v>
      </c>
      <c r="N214">
        <v>19000</v>
      </c>
    </row>
    <row r="215" spans="1:14">
      <c r="A215" t="s">
        <v>14</v>
      </c>
      <c r="B215" t="s">
        <v>492</v>
      </c>
      <c r="C215" t="s">
        <v>493</v>
      </c>
      <c r="D215">
        <v>42</v>
      </c>
      <c r="E215" s="1">
        <v>30666</v>
      </c>
      <c r="F215" t="s">
        <v>69</v>
      </c>
      <c r="G215" t="s">
        <v>86</v>
      </c>
      <c r="H215">
        <v>6000</v>
      </c>
      <c r="I215" s="2">
        <v>55000</v>
      </c>
      <c r="J215" t="s">
        <v>17</v>
      </c>
      <c r="K215">
        <v>5</v>
      </c>
      <c r="M215" t="s">
        <v>17</v>
      </c>
      <c r="N215">
        <v>10000</v>
      </c>
    </row>
    <row r="216" spans="1:14">
      <c r="A216" t="s">
        <v>14</v>
      </c>
      <c r="B216" t="s">
        <v>494</v>
      </c>
      <c r="C216" t="s">
        <v>495</v>
      </c>
      <c r="D216">
        <v>47</v>
      </c>
      <c r="E216" s="1">
        <v>29007</v>
      </c>
      <c r="F216" t="s">
        <v>30</v>
      </c>
      <c r="G216" t="s">
        <v>31</v>
      </c>
      <c r="H216">
        <v>5000</v>
      </c>
      <c r="I216" s="3">
        <v>75500</v>
      </c>
      <c r="J216" t="s">
        <v>65</v>
      </c>
      <c r="K216">
        <v>2</v>
      </c>
      <c r="M216" t="s">
        <v>65</v>
      </c>
      <c r="N216">
        <v>89500</v>
      </c>
    </row>
    <row r="217" spans="1:14">
      <c r="A217" t="s">
        <v>28</v>
      </c>
      <c r="B217" t="s">
        <v>496</v>
      </c>
      <c r="C217">
        <v>200</v>
      </c>
      <c r="D217">
        <v>55</v>
      </c>
      <c r="E217" s="1">
        <v>25892</v>
      </c>
      <c r="F217" t="s">
        <v>180</v>
      </c>
      <c r="G217" t="s">
        <v>491</v>
      </c>
      <c r="H217">
        <v>5300</v>
      </c>
      <c r="I217" s="3">
        <v>6500</v>
      </c>
      <c r="J217" t="s">
        <v>17</v>
      </c>
      <c r="K217">
        <v>42</v>
      </c>
      <c r="M217" t="s">
        <v>17</v>
      </c>
      <c r="N217">
        <v>96000</v>
      </c>
    </row>
    <row r="218" spans="1:14">
      <c r="A218" t="s">
        <v>14</v>
      </c>
      <c r="B218" t="s">
        <v>497</v>
      </c>
      <c r="C218">
        <v>9600</v>
      </c>
      <c r="D218">
        <v>49</v>
      </c>
      <c r="E218" s="1">
        <v>28330</v>
      </c>
      <c r="F218" t="s">
        <v>62</v>
      </c>
      <c r="G218" t="s">
        <v>31</v>
      </c>
      <c r="H218">
        <v>11500</v>
      </c>
      <c r="I218">
        <v>44500</v>
      </c>
      <c r="J218" t="s">
        <v>17</v>
      </c>
      <c r="K218">
        <v>45</v>
      </c>
      <c r="M218" t="s">
        <v>17</v>
      </c>
      <c r="N218">
        <v>3000</v>
      </c>
    </row>
    <row r="219" spans="1:14">
      <c r="A219" t="s">
        <v>14</v>
      </c>
      <c r="B219" t="s">
        <v>498</v>
      </c>
      <c r="C219" t="s">
        <v>499</v>
      </c>
      <c r="D219">
        <v>48</v>
      </c>
      <c r="E219" s="1">
        <v>28647</v>
      </c>
      <c r="F219" t="s">
        <v>91</v>
      </c>
      <c r="H219">
        <v>13200</v>
      </c>
      <c r="I219" t="s">
        <v>500</v>
      </c>
      <c r="J219" t="s">
        <v>17</v>
      </c>
      <c r="K219">
        <v>1</v>
      </c>
      <c r="M219" t="s">
        <v>17</v>
      </c>
      <c r="N219">
        <v>32500</v>
      </c>
    </row>
    <row r="220" spans="1:14">
      <c r="A220" t="s">
        <v>14</v>
      </c>
      <c r="B220" t="s">
        <v>501</v>
      </c>
      <c r="C220" t="s">
        <v>502</v>
      </c>
      <c r="D220">
        <v>45</v>
      </c>
      <c r="E220" s="1">
        <v>29598</v>
      </c>
      <c r="F220" t="s">
        <v>91</v>
      </c>
      <c r="G220" t="s">
        <v>153</v>
      </c>
      <c r="H220">
        <v>22800</v>
      </c>
      <c r="J220" t="s">
        <v>17</v>
      </c>
      <c r="K220">
        <v>10</v>
      </c>
      <c r="M220" t="s">
        <v>17</v>
      </c>
      <c r="N220">
        <v>31000</v>
      </c>
    </row>
    <row r="221" spans="1:14">
      <c r="A221" t="s">
        <v>14</v>
      </c>
      <c r="B221" t="s">
        <v>503</v>
      </c>
      <c r="C221">
        <v>29900</v>
      </c>
      <c r="D221" t="s">
        <v>227</v>
      </c>
      <c r="F221" t="s">
        <v>40</v>
      </c>
      <c r="G221" t="s">
        <v>41</v>
      </c>
      <c r="H221">
        <v>21300</v>
      </c>
      <c r="I221">
        <v>60500</v>
      </c>
      <c r="K221">
        <v>15</v>
      </c>
      <c r="N221">
        <v>74500</v>
      </c>
    </row>
    <row r="222" spans="1:14">
      <c r="A222" t="s">
        <v>14</v>
      </c>
      <c r="B222" t="s">
        <v>504</v>
      </c>
      <c r="C222" t="s">
        <v>505</v>
      </c>
      <c r="D222">
        <v>40</v>
      </c>
      <c r="E222" s="1">
        <v>31408</v>
      </c>
      <c r="F222" t="s">
        <v>506</v>
      </c>
      <c r="H222">
        <v>17400</v>
      </c>
      <c r="I222" s="3">
        <v>53000</v>
      </c>
      <c r="J222" t="s">
        <v>65</v>
      </c>
      <c r="K222">
        <v>20</v>
      </c>
      <c r="M222" t="s">
        <v>65</v>
      </c>
      <c r="N222">
        <v>52500</v>
      </c>
    </row>
    <row r="223" spans="1:14">
      <c r="A223" t="s">
        <v>14</v>
      </c>
      <c r="B223" t="s">
        <v>507</v>
      </c>
      <c r="C223" t="s">
        <v>508</v>
      </c>
      <c r="D223">
        <v>42</v>
      </c>
      <c r="E223" s="1">
        <v>30898</v>
      </c>
      <c r="F223" t="s">
        <v>91</v>
      </c>
      <c r="H223">
        <v>20800</v>
      </c>
      <c r="I223" s="2">
        <v>54000</v>
      </c>
      <c r="J223" t="s">
        <v>17</v>
      </c>
      <c r="K223">
        <v>4</v>
      </c>
      <c r="M223" t="s">
        <v>17</v>
      </c>
      <c r="N223">
        <v>73500</v>
      </c>
    </row>
    <row r="224" spans="1:14">
      <c r="A224" t="s">
        <v>28</v>
      </c>
      <c r="B224" t="s">
        <v>509</v>
      </c>
      <c r="C224">
        <v>23700</v>
      </c>
      <c r="E224" s="1">
        <v>19234</v>
      </c>
      <c r="F224" t="s">
        <v>20</v>
      </c>
      <c r="G224" t="s">
        <v>21</v>
      </c>
      <c r="H224" s="2">
        <v>8900</v>
      </c>
      <c r="I224" s="2">
        <v>4000</v>
      </c>
      <c r="J224" t="s">
        <v>17</v>
      </c>
      <c r="K224">
        <v>38</v>
      </c>
      <c r="M224" t="s">
        <v>17</v>
      </c>
      <c r="N224">
        <v>22500</v>
      </c>
    </row>
    <row r="225" spans="1:14">
      <c r="A225" t="s">
        <v>28</v>
      </c>
      <c r="B225" t="s">
        <v>510</v>
      </c>
      <c r="C225">
        <v>11600</v>
      </c>
      <c r="E225" s="1">
        <v>32890</v>
      </c>
      <c r="F225" t="s">
        <v>25</v>
      </c>
      <c r="G225" t="s">
        <v>26</v>
      </c>
      <c r="H225" s="3">
        <v>28100</v>
      </c>
      <c r="I225" s="3">
        <v>36500</v>
      </c>
      <c r="J225" t="s">
        <v>17</v>
      </c>
      <c r="K225">
        <v>13</v>
      </c>
      <c r="M225" t="s">
        <v>17</v>
      </c>
      <c r="N225">
        <v>5000</v>
      </c>
    </row>
    <row r="226" spans="1:14">
      <c r="A226" t="s">
        <v>14</v>
      </c>
      <c r="B226" t="s">
        <v>511</v>
      </c>
      <c r="C226">
        <v>21900</v>
      </c>
      <c r="D226">
        <v>67</v>
      </c>
      <c r="E226" s="1">
        <v>21619</v>
      </c>
      <c r="F226" t="s">
        <v>180</v>
      </c>
      <c r="G226" t="s">
        <v>491</v>
      </c>
      <c r="H226">
        <v>20200</v>
      </c>
      <c r="I226">
        <v>6500</v>
      </c>
      <c r="J226" t="s">
        <v>17</v>
      </c>
      <c r="K226">
        <v>1</v>
      </c>
      <c r="M226" t="s">
        <v>17</v>
      </c>
      <c r="N226">
        <v>98500</v>
      </c>
    </row>
    <row r="227" spans="1:14">
      <c r="A227" t="s">
        <v>76</v>
      </c>
      <c r="B227" t="s">
        <v>512</v>
      </c>
      <c r="C227" t="s">
        <v>513</v>
      </c>
      <c r="D227">
        <v>36</v>
      </c>
      <c r="E227" s="1">
        <v>33117</v>
      </c>
      <c r="F227" t="s">
        <v>150</v>
      </c>
      <c r="G227" t="s">
        <v>285</v>
      </c>
      <c r="H227">
        <v>11600</v>
      </c>
      <c r="I227">
        <v>78500</v>
      </c>
      <c r="J227" t="s">
        <v>17</v>
      </c>
      <c r="K227">
        <v>1</v>
      </c>
      <c r="M227" t="s">
        <v>17</v>
      </c>
      <c r="N227">
        <v>42000</v>
      </c>
    </row>
    <row r="228" spans="1:14">
      <c r="A228" t="s">
        <v>14</v>
      </c>
      <c r="B228" t="s">
        <v>514</v>
      </c>
      <c r="C228" t="s">
        <v>515</v>
      </c>
      <c r="D228">
        <v>61</v>
      </c>
      <c r="E228" s="1">
        <v>23964</v>
      </c>
      <c r="F228" t="s">
        <v>75</v>
      </c>
      <c r="G228" t="s">
        <v>172</v>
      </c>
      <c r="H228">
        <v>7000</v>
      </c>
      <c r="I228">
        <v>1500</v>
      </c>
      <c r="J228" t="s">
        <v>65</v>
      </c>
      <c r="K228">
        <v>32</v>
      </c>
      <c r="M228" t="s">
        <v>65</v>
      </c>
      <c r="N228">
        <v>53000</v>
      </c>
    </row>
    <row r="229" spans="1:14">
      <c r="A229" t="s">
        <v>28</v>
      </c>
      <c r="B229" t="s">
        <v>516</v>
      </c>
      <c r="C229">
        <v>8300</v>
      </c>
      <c r="D229">
        <v>31</v>
      </c>
      <c r="E229" s="1">
        <v>34828</v>
      </c>
      <c r="F229" t="s">
        <v>104</v>
      </c>
      <c r="G229" t="s">
        <v>70</v>
      </c>
      <c r="H229" s="3">
        <v>24900</v>
      </c>
      <c r="I229">
        <v>72000</v>
      </c>
      <c r="J229" t="s">
        <v>17</v>
      </c>
      <c r="K229">
        <v>35</v>
      </c>
      <c r="M229" t="s">
        <v>17</v>
      </c>
      <c r="N229">
        <v>79000</v>
      </c>
    </row>
    <row r="230" spans="1:14">
      <c r="A230" t="s">
        <v>14</v>
      </c>
      <c r="B230" t="s">
        <v>516</v>
      </c>
      <c r="C230" t="s">
        <v>517</v>
      </c>
      <c r="E230" s="1">
        <v>34411</v>
      </c>
      <c r="F230" t="s">
        <v>34</v>
      </c>
      <c r="G230" t="s">
        <v>34</v>
      </c>
      <c r="I230">
        <v>0</v>
      </c>
      <c r="J230" t="s">
        <v>17</v>
      </c>
      <c r="K230">
        <v>20</v>
      </c>
      <c r="M230" t="s">
        <v>17</v>
      </c>
      <c r="N230">
        <v>42000</v>
      </c>
    </row>
    <row r="231" spans="1:14">
      <c r="A231" t="s">
        <v>14</v>
      </c>
      <c r="B231" t="s">
        <v>518</v>
      </c>
      <c r="C231">
        <v>22300</v>
      </c>
      <c r="D231">
        <v>25</v>
      </c>
      <c r="E231" s="1">
        <v>36831</v>
      </c>
      <c r="F231" t="s">
        <v>101</v>
      </c>
      <c r="G231" t="s">
        <v>21</v>
      </c>
      <c r="H231" s="3">
        <v>9400</v>
      </c>
      <c r="I231">
        <v>51500</v>
      </c>
      <c r="J231" t="s">
        <v>17</v>
      </c>
      <c r="K231">
        <v>14</v>
      </c>
      <c r="M231" t="s">
        <v>17</v>
      </c>
      <c r="N231">
        <v>29500</v>
      </c>
    </row>
    <row r="232" spans="1:14">
      <c r="A232" t="s">
        <v>14</v>
      </c>
      <c r="B232" t="s">
        <v>518</v>
      </c>
      <c r="C232">
        <v>22300</v>
      </c>
      <c r="D232">
        <v>25</v>
      </c>
      <c r="E232" s="1">
        <v>36831</v>
      </c>
      <c r="F232" t="s">
        <v>101</v>
      </c>
      <c r="G232" t="s">
        <v>21</v>
      </c>
      <c r="H232" s="3">
        <v>9400</v>
      </c>
      <c r="I232">
        <v>51500</v>
      </c>
      <c r="J232" t="s">
        <v>17</v>
      </c>
      <c r="K232">
        <v>14</v>
      </c>
      <c r="M232" t="s">
        <v>17</v>
      </c>
      <c r="N232">
        <v>74000</v>
      </c>
    </row>
    <row r="233" spans="1:14">
      <c r="A233" t="s">
        <v>14</v>
      </c>
      <c r="B233" t="s">
        <v>519</v>
      </c>
      <c r="C233" t="s">
        <v>520</v>
      </c>
      <c r="D233">
        <v>60</v>
      </c>
      <c r="E233" s="1">
        <v>24021</v>
      </c>
      <c r="F233" t="s">
        <v>242</v>
      </c>
      <c r="G233" t="s">
        <v>172</v>
      </c>
      <c r="H233">
        <v>22900</v>
      </c>
      <c r="I233">
        <v>4500</v>
      </c>
      <c r="J233" t="s">
        <v>65</v>
      </c>
      <c r="K233">
        <v>29</v>
      </c>
      <c r="M233" t="s">
        <v>65</v>
      </c>
      <c r="N233">
        <v>43500</v>
      </c>
    </row>
    <row r="234" spans="1:14">
      <c r="A234" t="s">
        <v>14</v>
      </c>
      <c r="B234" t="s">
        <v>521</v>
      </c>
      <c r="C234" t="s">
        <v>522</v>
      </c>
      <c r="D234">
        <v>32</v>
      </c>
      <c r="E234" s="1">
        <v>34457</v>
      </c>
      <c r="F234" t="s">
        <v>25</v>
      </c>
      <c r="G234" t="s">
        <v>192</v>
      </c>
      <c r="H234" s="3">
        <v>21300</v>
      </c>
      <c r="I234" s="2">
        <v>48000</v>
      </c>
      <c r="J234" t="s">
        <v>17</v>
      </c>
      <c r="K234">
        <v>11</v>
      </c>
      <c r="M234" t="s">
        <v>17</v>
      </c>
      <c r="N234">
        <v>35000</v>
      </c>
    </row>
    <row r="235" spans="1:14">
      <c r="A235" t="s">
        <v>76</v>
      </c>
      <c r="B235" t="s">
        <v>523</v>
      </c>
      <c r="C235" t="s">
        <v>524</v>
      </c>
      <c r="D235">
        <v>39</v>
      </c>
      <c r="E235" s="1">
        <v>31879</v>
      </c>
      <c r="F235" t="s">
        <v>101</v>
      </c>
      <c r="G235" t="s">
        <v>21</v>
      </c>
      <c r="H235" t="s">
        <v>525</v>
      </c>
      <c r="I235">
        <v>0</v>
      </c>
      <c r="J235" t="s">
        <v>17</v>
      </c>
      <c r="K235">
        <v>39</v>
      </c>
      <c r="M235" t="s">
        <v>17</v>
      </c>
      <c r="N235">
        <v>75000</v>
      </c>
    </row>
    <row r="236" spans="1:14">
      <c r="A236" t="s">
        <v>14</v>
      </c>
      <c r="B236" t="s">
        <v>526</v>
      </c>
      <c r="C236" t="s">
        <v>527</v>
      </c>
      <c r="D236">
        <v>55</v>
      </c>
      <c r="E236" s="1">
        <v>26103</v>
      </c>
      <c r="F236" t="s">
        <v>180</v>
      </c>
      <c r="G236" t="s">
        <v>38</v>
      </c>
      <c r="H236">
        <v>9600</v>
      </c>
      <c r="I236">
        <v>43000</v>
      </c>
      <c r="J236" t="s">
        <v>17</v>
      </c>
      <c r="K236">
        <v>36</v>
      </c>
      <c r="M236" t="s">
        <v>17</v>
      </c>
      <c r="N236">
        <v>67500</v>
      </c>
    </row>
    <row r="237" spans="1:14">
      <c r="A237" t="s">
        <v>14</v>
      </c>
      <c r="B237" t="s">
        <v>528</v>
      </c>
      <c r="C237" t="s">
        <v>529</v>
      </c>
      <c r="D237">
        <v>55</v>
      </c>
      <c r="E237" s="1">
        <v>25874</v>
      </c>
      <c r="F237" t="s">
        <v>34</v>
      </c>
      <c r="G237" t="s">
        <v>335</v>
      </c>
      <c r="H237" s="3">
        <v>29100</v>
      </c>
      <c r="I237" t="s">
        <v>251</v>
      </c>
      <c r="J237" t="s">
        <v>17</v>
      </c>
      <c r="K237">
        <v>11</v>
      </c>
      <c r="M237" t="s">
        <v>17</v>
      </c>
      <c r="N237">
        <v>56000</v>
      </c>
    </row>
    <row r="238" spans="1:14">
      <c r="A238" t="s">
        <v>14</v>
      </c>
      <c r="B238" t="s">
        <v>530</v>
      </c>
      <c r="C238" t="s">
        <v>531</v>
      </c>
      <c r="D238">
        <v>65</v>
      </c>
      <c r="E238" s="1">
        <v>22236</v>
      </c>
      <c r="F238" t="s">
        <v>44</v>
      </c>
      <c r="G238" t="s">
        <v>89</v>
      </c>
      <c r="H238" t="s">
        <v>532</v>
      </c>
      <c r="I238">
        <v>28000</v>
      </c>
      <c r="J238" t="s">
        <v>17</v>
      </c>
      <c r="K238">
        <v>34</v>
      </c>
      <c r="M238" t="s">
        <v>17</v>
      </c>
      <c r="N238">
        <v>74000</v>
      </c>
    </row>
    <row r="239" spans="1:14">
      <c r="B239" t="s">
        <v>533</v>
      </c>
      <c r="C239" t="s">
        <v>534</v>
      </c>
      <c r="D239">
        <v>61</v>
      </c>
      <c r="E239" s="1">
        <v>23813</v>
      </c>
      <c r="F239" t="s">
        <v>62</v>
      </c>
      <c r="G239" t="s">
        <v>31</v>
      </c>
      <c r="H239" s="2">
        <v>26300</v>
      </c>
      <c r="I239">
        <v>40000</v>
      </c>
      <c r="J239" t="s">
        <v>65</v>
      </c>
      <c r="K239" t="s">
        <v>345</v>
      </c>
      <c r="M239" t="s">
        <v>65</v>
      </c>
      <c r="N239">
        <v>16500</v>
      </c>
    </row>
    <row r="240" spans="1:14">
      <c r="A240" t="s">
        <v>14</v>
      </c>
      <c r="B240" t="s">
        <v>535</v>
      </c>
      <c r="C240">
        <v>9800</v>
      </c>
      <c r="D240">
        <v>35</v>
      </c>
      <c r="E240" s="1">
        <v>33440</v>
      </c>
      <c r="F240" t="s">
        <v>44</v>
      </c>
      <c r="G240" t="s">
        <v>45</v>
      </c>
      <c r="H240" s="2">
        <v>2000</v>
      </c>
      <c r="I240" s="2">
        <v>5500</v>
      </c>
      <c r="J240" t="s">
        <v>17</v>
      </c>
      <c r="K240">
        <v>34</v>
      </c>
      <c r="M240" t="s">
        <v>17</v>
      </c>
      <c r="N240">
        <v>71000</v>
      </c>
    </row>
    <row r="241" spans="1:14">
      <c r="A241" t="s">
        <v>28</v>
      </c>
      <c r="B241" t="s">
        <v>536</v>
      </c>
      <c r="C241" t="s">
        <v>537</v>
      </c>
      <c r="D241">
        <v>20</v>
      </c>
      <c r="E241" s="1">
        <v>38704</v>
      </c>
      <c r="F241" t="s">
        <v>37</v>
      </c>
      <c r="G241" t="s">
        <v>491</v>
      </c>
      <c r="H241">
        <v>12900</v>
      </c>
      <c r="I241" s="2">
        <v>26500</v>
      </c>
      <c r="J241" t="s">
        <v>17</v>
      </c>
      <c r="K241">
        <v>13</v>
      </c>
      <c r="M241" t="s">
        <v>17</v>
      </c>
      <c r="N241">
        <v>2000</v>
      </c>
    </row>
    <row r="242" spans="1:14">
      <c r="A242" t="s">
        <v>28</v>
      </c>
      <c r="B242" t="s">
        <v>538</v>
      </c>
      <c r="C242">
        <v>20600</v>
      </c>
      <c r="D242">
        <v>55</v>
      </c>
      <c r="E242" s="1">
        <v>26075</v>
      </c>
      <c r="F242" t="s">
        <v>51</v>
      </c>
      <c r="G242" t="s">
        <v>52</v>
      </c>
      <c r="H242" s="2">
        <v>21100</v>
      </c>
      <c r="I242" s="3">
        <v>67500</v>
      </c>
      <c r="J242" t="s">
        <v>17</v>
      </c>
      <c r="K242">
        <v>15</v>
      </c>
      <c r="M242" t="s">
        <v>17</v>
      </c>
      <c r="N242">
        <v>20000</v>
      </c>
    </row>
    <row r="243" spans="1:14">
      <c r="A243" t="s">
        <v>14</v>
      </c>
      <c r="B243" t="s">
        <v>539</v>
      </c>
      <c r="C243" t="s">
        <v>540</v>
      </c>
      <c r="D243">
        <v>24</v>
      </c>
      <c r="F243" t="s">
        <v>40</v>
      </c>
      <c r="G243" t="s">
        <v>41</v>
      </c>
      <c r="H243">
        <v>29300</v>
      </c>
      <c r="I243">
        <v>32000</v>
      </c>
      <c r="J243" t="s">
        <v>65</v>
      </c>
      <c r="K243">
        <v>26</v>
      </c>
      <c r="M243" t="s">
        <v>65</v>
      </c>
      <c r="N243">
        <v>59000</v>
      </c>
    </row>
    <row r="244" spans="1:14">
      <c r="A244" t="s">
        <v>28</v>
      </c>
      <c r="B244" t="s">
        <v>541</v>
      </c>
      <c r="C244" t="s">
        <v>542</v>
      </c>
      <c r="E244" s="1">
        <v>19672</v>
      </c>
      <c r="F244" t="s">
        <v>34</v>
      </c>
      <c r="G244" t="s">
        <v>34</v>
      </c>
      <c r="H244">
        <v>21000</v>
      </c>
      <c r="I244">
        <v>0</v>
      </c>
      <c r="J244" t="s">
        <v>125</v>
      </c>
      <c r="K244">
        <v>11</v>
      </c>
      <c r="M244" t="s">
        <v>125</v>
      </c>
      <c r="N244">
        <v>75500</v>
      </c>
    </row>
    <row r="245" spans="1:14">
      <c r="A245" t="s">
        <v>14</v>
      </c>
      <c r="B245" t="s">
        <v>543</v>
      </c>
      <c r="C245" t="s">
        <v>544</v>
      </c>
      <c r="D245">
        <v>34</v>
      </c>
      <c r="E245" s="1">
        <v>33525</v>
      </c>
      <c r="F245" t="s">
        <v>242</v>
      </c>
      <c r="H245">
        <v>28000</v>
      </c>
      <c r="I245">
        <v>36500</v>
      </c>
      <c r="J245" t="s">
        <v>17</v>
      </c>
      <c r="K245">
        <v>33</v>
      </c>
      <c r="M245" t="s">
        <v>17</v>
      </c>
      <c r="N245">
        <v>60000</v>
      </c>
    </row>
    <row r="246" spans="1:14">
      <c r="A246" t="s">
        <v>14</v>
      </c>
      <c r="B246" t="s">
        <v>545</v>
      </c>
      <c r="C246" t="s">
        <v>546</v>
      </c>
      <c r="D246">
        <v>57</v>
      </c>
      <c r="E246" s="1">
        <v>25199</v>
      </c>
      <c r="F246" t="s">
        <v>101</v>
      </c>
      <c r="G246" t="s">
        <v>235</v>
      </c>
      <c r="H246" s="2">
        <v>20700</v>
      </c>
      <c r="I246">
        <v>64500</v>
      </c>
      <c r="J246" t="s">
        <v>17</v>
      </c>
      <c r="K246" t="s">
        <v>547</v>
      </c>
      <c r="M246" t="s">
        <v>17</v>
      </c>
      <c r="N246">
        <v>54500</v>
      </c>
    </row>
    <row r="247" spans="1:14">
      <c r="A247" t="s">
        <v>28</v>
      </c>
      <c r="B247" t="s">
        <v>548</v>
      </c>
      <c r="C247" t="s">
        <v>549</v>
      </c>
      <c r="D247">
        <v>66</v>
      </c>
      <c r="E247" s="1">
        <v>21954</v>
      </c>
      <c r="F247" t="s">
        <v>104</v>
      </c>
      <c r="G247" t="s">
        <v>320</v>
      </c>
      <c r="H247">
        <v>3400</v>
      </c>
      <c r="I247">
        <v>78000</v>
      </c>
      <c r="J247" t="s">
        <v>17</v>
      </c>
      <c r="K247">
        <v>9</v>
      </c>
      <c r="M247" t="s">
        <v>17</v>
      </c>
      <c r="N247">
        <v>51500</v>
      </c>
    </row>
    <row r="248" spans="1:14">
      <c r="A248" t="s">
        <v>14</v>
      </c>
      <c r="B248" t="s">
        <v>550</v>
      </c>
      <c r="C248">
        <v>35000</v>
      </c>
      <c r="D248">
        <v>18</v>
      </c>
      <c r="E248" s="1">
        <v>39342</v>
      </c>
      <c r="F248" t="s">
        <v>101</v>
      </c>
      <c r="G248" t="s">
        <v>21</v>
      </c>
      <c r="H248">
        <v>28900</v>
      </c>
      <c r="I248">
        <v>22000</v>
      </c>
      <c r="J248" t="s">
        <v>17</v>
      </c>
      <c r="K248">
        <v>23</v>
      </c>
      <c r="M248" t="s">
        <v>17</v>
      </c>
      <c r="N248">
        <v>90000</v>
      </c>
    </row>
    <row r="249" spans="1:14">
      <c r="A249" t="s">
        <v>14</v>
      </c>
      <c r="B249" t="s">
        <v>551</v>
      </c>
      <c r="C249">
        <v>25200</v>
      </c>
      <c r="D249">
        <v>44</v>
      </c>
      <c r="E249" s="1">
        <v>30081</v>
      </c>
      <c r="F249" t="s">
        <v>62</v>
      </c>
      <c r="G249" t="s">
        <v>31</v>
      </c>
      <c r="H249">
        <v>9600</v>
      </c>
      <c r="I249" s="3">
        <v>66000</v>
      </c>
      <c r="K249">
        <v>11</v>
      </c>
      <c r="N249">
        <v>4500</v>
      </c>
    </row>
    <row r="250" spans="1:14">
      <c r="A250" t="s">
        <v>28</v>
      </c>
      <c r="B250" t="s">
        <v>552</v>
      </c>
      <c r="C250">
        <v>11700</v>
      </c>
      <c r="D250">
        <v>27</v>
      </c>
      <c r="E250" s="1">
        <v>36151</v>
      </c>
      <c r="F250" t="s">
        <v>242</v>
      </c>
      <c r="G250" t="s">
        <v>41</v>
      </c>
      <c r="H250" s="2">
        <v>25900</v>
      </c>
      <c r="I250">
        <v>0</v>
      </c>
      <c r="J250" t="s">
        <v>65</v>
      </c>
      <c r="K250">
        <v>10</v>
      </c>
      <c r="M250" t="s">
        <v>65</v>
      </c>
      <c r="N250">
        <v>5000</v>
      </c>
    </row>
    <row r="251" spans="1:14">
      <c r="A251" t="s">
        <v>14</v>
      </c>
      <c r="B251" t="s">
        <v>553</v>
      </c>
      <c r="C251" t="s">
        <v>554</v>
      </c>
      <c r="D251">
        <v>35</v>
      </c>
      <c r="E251" s="1">
        <v>33309</v>
      </c>
      <c r="F251" t="s">
        <v>25</v>
      </c>
      <c r="G251" t="s">
        <v>55</v>
      </c>
      <c r="H251">
        <v>28500</v>
      </c>
      <c r="I251" s="2">
        <v>48500</v>
      </c>
      <c r="J251" t="s">
        <v>17</v>
      </c>
      <c r="K251">
        <v>24</v>
      </c>
      <c r="M251" t="s">
        <v>17</v>
      </c>
      <c r="N251">
        <v>80500</v>
      </c>
    </row>
    <row r="252" spans="1:14">
      <c r="A252" t="s">
        <v>14</v>
      </c>
      <c r="B252" t="s">
        <v>555</v>
      </c>
      <c r="C252" t="s">
        <v>556</v>
      </c>
      <c r="D252">
        <v>30</v>
      </c>
      <c r="E252" s="1">
        <v>35109</v>
      </c>
      <c r="F252" t="s">
        <v>180</v>
      </c>
      <c r="G252" t="s">
        <v>491</v>
      </c>
      <c r="H252">
        <v>2600</v>
      </c>
      <c r="I252">
        <v>62000</v>
      </c>
      <c r="J252" t="s">
        <v>17</v>
      </c>
      <c r="K252">
        <v>22</v>
      </c>
      <c r="M252" t="s">
        <v>17</v>
      </c>
      <c r="N252">
        <v>62000</v>
      </c>
    </row>
    <row r="253" spans="1:14">
      <c r="A253" t="s">
        <v>14</v>
      </c>
      <c r="B253" t="s">
        <v>557</v>
      </c>
      <c r="C253">
        <v>37000</v>
      </c>
      <c r="D253">
        <v>24</v>
      </c>
      <c r="E253" s="1">
        <v>37290</v>
      </c>
      <c r="F253" t="s">
        <v>20</v>
      </c>
      <c r="G253" t="s">
        <v>146</v>
      </c>
      <c r="H253" s="2">
        <v>6400</v>
      </c>
      <c r="I253" s="3">
        <v>41000</v>
      </c>
      <c r="J253" t="s">
        <v>17</v>
      </c>
      <c r="K253">
        <v>22</v>
      </c>
      <c r="M253" t="s">
        <v>17</v>
      </c>
      <c r="N253">
        <v>74500</v>
      </c>
    </row>
    <row r="254" spans="1:14">
      <c r="A254" t="s">
        <v>14</v>
      </c>
      <c r="B254" t="s">
        <v>558</v>
      </c>
      <c r="C254" t="s">
        <v>559</v>
      </c>
      <c r="D254">
        <v>64</v>
      </c>
      <c r="E254" s="1">
        <v>22845</v>
      </c>
      <c r="F254" t="s">
        <v>99</v>
      </c>
      <c r="G254" t="s">
        <v>198</v>
      </c>
      <c r="H254">
        <v>12700</v>
      </c>
      <c r="I254">
        <v>0</v>
      </c>
      <c r="J254" t="s">
        <v>17</v>
      </c>
      <c r="K254">
        <v>21</v>
      </c>
      <c r="M254" t="s">
        <v>17</v>
      </c>
      <c r="N254">
        <v>50500</v>
      </c>
    </row>
    <row r="255" spans="1:14">
      <c r="A255" t="s">
        <v>14</v>
      </c>
      <c r="B255" t="s">
        <v>560</v>
      </c>
      <c r="C255" t="s">
        <v>561</v>
      </c>
      <c r="D255">
        <v>60</v>
      </c>
      <c r="E255" s="1">
        <v>24272</v>
      </c>
      <c r="F255" t="s">
        <v>275</v>
      </c>
      <c r="G255" t="s">
        <v>235</v>
      </c>
      <c r="H255">
        <v>17300</v>
      </c>
      <c r="I255" s="2">
        <v>15000</v>
      </c>
      <c r="J255" t="s">
        <v>17</v>
      </c>
      <c r="K255">
        <v>17</v>
      </c>
      <c r="M255" t="s">
        <v>17</v>
      </c>
      <c r="N255">
        <v>69000</v>
      </c>
    </row>
    <row r="256" spans="1:14">
      <c r="A256" t="s">
        <v>28</v>
      </c>
      <c r="B256" t="s">
        <v>562</v>
      </c>
      <c r="C256" t="s">
        <v>563</v>
      </c>
      <c r="D256">
        <v>33</v>
      </c>
      <c r="E256" s="1">
        <v>34082</v>
      </c>
      <c r="F256" t="s">
        <v>30</v>
      </c>
      <c r="G256" t="s">
        <v>31</v>
      </c>
      <c r="H256">
        <v>23600</v>
      </c>
      <c r="I256" s="3">
        <v>75500</v>
      </c>
      <c r="J256" t="s">
        <v>17</v>
      </c>
      <c r="K256">
        <v>16</v>
      </c>
      <c r="M256" t="s">
        <v>17</v>
      </c>
      <c r="N256">
        <v>88000</v>
      </c>
    </row>
    <row r="257" spans="1:14">
      <c r="A257" t="s">
        <v>14</v>
      </c>
      <c r="B257" t="s">
        <v>564</v>
      </c>
      <c r="C257">
        <v>34800</v>
      </c>
      <c r="D257">
        <v>26</v>
      </c>
      <c r="E257" s="1">
        <v>36596</v>
      </c>
      <c r="F257" t="s">
        <v>75</v>
      </c>
      <c r="G257" t="s">
        <v>198</v>
      </c>
      <c r="H257">
        <v>3500</v>
      </c>
      <c r="I257">
        <v>50000</v>
      </c>
      <c r="J257">
        <v>0</v>
      </c>
      <c r="K257">
        <v>40</v>
      </c>
      <c r="M257">
        <v>0</v>
      </c>
      <c r="N257">
        <v>46500</v>
      </c>
    </row>
    <row r="258" spans="1:14">
      <c r="A258" t="s">
        <v>14</v>
      </c>
      <c r="B258" t="s">
        <v>565</v>
      </c>
      <c r="C258" t="s">
        <v>566</v>
      </c>
      <c r="D258">
        <v>51</v>
      </c>
      <c r="E258" s="1">
        <v>27413</v>
      </c>
      <c r="F258" t="s">
        <v>99</v>
      </c>
      <c r="G258" t="s">
        <v>172</v>
      </c>
      <c r="H258">
        <v>18500</v>
      </c>
      <c r="I258" s="3">
        <v>69500</v>
      </c>
      <c r="J258" t="s">
        <v>17</v>
      </c>
      <c r="K258" t="s">
        <v>567</v>
      </c>
      <c r="M258" t="s">
        <v>17</v>
      </c>
      <c r="N258">
        <v>18000</v>
      </c>
    </row>
    <row r="259" spans="1:14">
      <c r="A259" t="s">
        <v>14</v>
      </c>
      <c r="B259" t="s">
        <v>568</v>
      </c>
      <c r="C259" t="s">
        <v>569</v>
      </c>
      <c r="D259">
        <v>19</v>
      </c>
      <c r="E259" s="1">
        <v>39220</v>
      </c>
      <c r="F259" t="s">
        <v>101</v>
      </c>
      <c r="G259" t="s">
        <v>21</v>
      </c>
      <c r="H259">
        <v>18000</v>
      </c>
      <c r="I259">
        <v>50500</v>
      </c>
      <c r="J259" t="s">
        <v>330</v>
      </c>
      <c r="K259">
        <v>11</v>
      </c>
      <c r="M259" t="s">
        <v>330</v>
      </c>
      <c r="N259">
        <v>26000</v>
      </c>
    </row>
    <row r="260" spans="1:14">
      <c r="A260" t="s">
        <v>76</v>
      </c>
      <c r="B260" t="s">
        <v>570</v>
      </c>
      <c r="C260" t="s">
        <v>571</v>
      </c>
      <c r="D260">
        <v>24</v>
      </c>
      <c r="E260" s="1">
        <v>37435</v>
      </c>
      <c r="F260" t="s">
        <v>150</v>
      </c>
      <c r="G260" t="s">
        <v>157</v>
      </c>
      <c r="H260">
        <v>6100</v>
      </c>
      <c r="J260" t="s">
        <v>27</v>
      </c>
      <c r="K260">
        <v>15</v>
      </c>
      <c r="M260" t="s">
        <v>27</v>
      </c>
      <c r="N260">
        <v>67000</v>
      </c>
    </row>
    <row r="261" spans="1:14">
      <c r="A261" t="s">
        <v>14</v>
      </c>
      <c r="B261" t="s">
        <v>572</v>
      </c>
      <c r="C261" t="s">
        <v>573</v>
      </c>
      <c r="D261">
        <v>60</v>
      </c>
      <c r="E261" s="1">
        <v>24202</v>
      </c>
      <c r="F261" t="s">
        <v>37</v>
      </c>
      <c r="G261" t="s">
        <v>38</v>
      </c>
      <c r="H261" s="2">
        <v>5500</v>
      </c>
      <c r="I261">
        <v>0</v>
      </c>
      <c r="J261" t="s">
        <v>125</v>
      </c>
      <c r="K261">
        <v>26</v>
      </c>
      <c r="M261" t="s">
        <v>125</v>
      </c>
      <c r="N261">
        <v>52500</v>
      </c>
    </row>
    <row r="262" spans="1:14">
      <c r="A262" t="s">
        <v>14</v>
      </c>
      <c r="B262" t="s">
        <v>574</v>
      </c>
      <c r="C262">
        <v>36000</v>
      </c>
      <c r="D262">
        <v>26</v>
      </c>
      <c r="E262" s="1">
        <v>36573</v>
      </c>
      <c r="F262" t="s">
        <v>188</v>
      </c>
      <c r="H262">
        <v>4800</v>
      </c>
      <c r="I262" t="s">
        <v>575</v>
      </c>
      <c r="J262" t="s">
        <v>65</v>
      </c>
      <c r="K262">
        <v>6</v>
      </c>
      <c r="M262" t="s">
        <v>65</v>
      </c>
      <c r="N262">
        <v>56500</v>
      </c>
    </row>
    <row r="263" spans="1:14">
      <c r="A263" t="s">
        <v>14</v>
      </c>
      <c r="B263" t="s">
        <v>574</v>
      </c>
      <c r="C263">
        <v>8900</v>
      </c>
      <c r="E263" s="1">
        <v>33473</v>
      </c>
      <c r="F263" t="s">
        <v>150</v>
      </c>
      <c r="G263" t="s">
        <v>157</v>
      </c>
      <c r="H263">
        <v>24000</v>
      </c>
      <c r="I263">
        <v>0</v>
      </c>
      <c r="J263" t="s">
        <v>65</v>
      </c>
      <c r="K263">
        <v>3</v>
      </c>
      <c r="M263" t="s">
        <v>65</v>
      </c>
      <c r="N263">
        <v>60000</v>
      </c>
    </row>
    <row r="264" spans="1:14">
      <c r="A264" t="s">
        <v>14</v>
      </c>
      <c r="B264" t="s">
        <v>574</v>
      </c>
      <c r="C264" t="s">
        <v>576</v>
      </c>
      <c r="D264">
        <v>74</v>
      </c>
      <c r="E264" s="1">
        <v>19121</v>
      </c>
      <c r="F264" t="s">
        <v>40</v>
      </c>
      <c r="G264" t="s">
        <v>41</v>
      </c>
      <c r="H264">
        <v>7300</v>
      </c>
      <c r="I264">
        <v>1000</v>
      </c>
      <c r="J264" t="s">
        <v>17</v>
      </c>
      <c r="K264">
        <v>3</v>
      </c>
      <c r="M264" t="s">
        <v>17</v>
      </c>
      <c r="N264">
        <v>50500</v>
      </c>
    </row>
    <row r="265" spans="1:14">
      <c r="A265" t="s">
        <v>14</v>
      </c>
      <c r="B265" t="s">
        <v>577</v>
      </c>
      <c r="C265" t="s">
        <v>578</v>
      </c>
      <c r="D265">
        <v>53</v>
      </c>
      <c r="E265" s="1">
        <v>26898</v>
      </c>
      <c r="F265" t="s">
        <v>99</v>
      </c>
      <c r="G265" t="s">
        <v>41</v>
      </c>
      <c r="H265">
        <v>27100</v>
      </c>
      <c r="I265">
        <v>68000</v>
      </c>
      <c r="J265" t="s">
        <v>17</v>
      </c>
      <c r="K265" t="s">
        <v>579</v>
      </c>
      <c r="M265" t="s">
        <v>17</v>
      </c>
      <c r="N265">
        <v>49500</v>
      </c>
    </row>
    <row r="266" spans="1:14">
      <c r="A266" t="s">
        <v>14</v>
      </c>
      <c r="B266" t="s">
        <v>580</v>
      </c>
      <c r="C266">
        <v>15000</v>
      </c>
      <c r="D266">
        <v>73</v>
      </c>
      <c r="E266" s="1">
        <v>19588</v>
      </c>
      <c r="F266" t="s">
        <v>99</v>
      </c>
      <c r="G266" t="s">
        <v>41</v>
      </c>
      <c r="H266" s="3">
        <v>28600</v>
      </c>
      <c r="I266">
        <v>40500</v>
      </c>
      <c r="J266" t="s">
        <v>17</v>
      </c>
      <c r="K266">
        <v>20</v>
      </c>
      <c r="M266" t="s">
        <v>17</v>
      </c>
      <c r="N266">
        <v>2500</v>
      </c>
    </row>
    <row r="267" spans="1:14">
      <c r="A267" t="s">
        <v>76</v>
      </c>
      <c r="B267" t="s">
        <v>581</v>
      </c>
      <c r="C267" t="s">
        <v>582</v>
      </c>
      <c r="D267">
        <v>19</v>
      </c>
      <c r="E267" s="1">
        <v>39003</v>
      </c>
      <c r="F267" t="s">
        <v>75</v>
      </c>
      <c r="G267" t="s">
        <v>41</v>
      </c>
      <c r="H267" t="s">
        <v>583</v>
      </c>
      <c r="I267" s="3">
        <v>29500</v>
      </c>
      <c r="J267" t="s">
        <v>65</v>
      </c>
      <c r="K267">
        <v>13</v>
      </c>
      <c r="M267" t="s">
        <v>65</v>
      </c>
      <c r="N267">
        <v>5000</v>
      </c>
    </row>
    <row r="268" spans="1:14">
      <c r="A268" t="s">
        <v>14</v>
      </c>
      <c r="B268" t="s">
        <v>584</v>
      </c>
      <c r="C268" t="s">
        <v>585</v>
      </c>
      <c r="D268">
        <v>54</v>
      </c>
      <c r="E268" s="1">
        <v>26382</v>
      </c>
      <c r="F268" t="s">
        <v>180</v>
      </c>
      <c r="G268" t="s">
        <v>38</v>
      </c>
      <c r="H268">
        <v>22100</v>
      </c>
      <c r="I268">
        <v>37000</v>
      </c>
      <c r="J268" t="s">
        <v>17</v>
      </c>
      <c r="K268">
        <v>34</v>
      </c>
      <c r="M268" t="s">
        <v>17</v>
      </c>
      <c r="N268">
        <v>87000</v>
      </c>
    </row>
    <row r="269" spans="1:14">
      <c r="A269" t="s">
        <v>14</v>
      </c>
      <c r="B269" t="s">
        <v>586</v>
      </c>
      <c r="C269" t="s">
        <v>587</v>
      </c>
      <c r="D269">
        <v>18</v>
      </c>
      <c r="E269" s="1">
        <v>39338</v>
      </c>
      <c r="F269" t="s">
        <v>99</v>
      </c>
      <c r="G269" t="s">
        <v>172</v>
      </c>
      <c r="H269" s="3">
        <v>14100</v>
      </c>
      <c r="I269">
        <v>38500</v>
      </c>
      <c r="J269" t="s">
        <v>17</v>
      </c>
      <c r="K269">
        <v>7</v>
      </c>
      <c r="M269" t="s">
        <v>17</v>
      </c>
      <c r="N269">
        <v>11000</v>
      </c>
    </row>
    <row r="270" spans="1:14">
      <c r="A270" t="s">
        <v>14</v>
      </c>
      <c r="B270" t="s">
        <v>588</v>
      </c>
      <c r="C270" t="s">
        <v>589</v>
      </c>
      <c r="D270">
        <v>25</v>
      </c>
      <c r="E270" s="1">
        <v>37056</v>
      </c>
      <c r="F270" t="s">
        <v>99</v>
      </c>
      <c r="G270" t="s">
        <v>41</v>
      </c>
      <c r="H270">
        <v>25400</v>
      </c>
      <c r="I270">
        <v>4000</v>
      </c>
      <c r="J270" t="s">
        <v>17</v>
      </c>
      <c r="K270">
        <v>4</v>
      </c>
      <c r="M270" t="s">
        <v>17</v>
      </c>
      <c r="N270">
        <v>8500</v>
      </c>
    </row>
    <row r="271" spans="1:14">
      <c r="A271" t="s">
        <v>14</v>
      </c>
      <c r="B271" t="s">
        <v>590</v>
      </c>
      <c r="C271" t="s">
        <v>591</v>
      </c>
      <c r="E271" s="1">
        <v>35600</v>
      </c>
      <c r="F271" t="s">
        <v>160</v>
      </c>
      <c r="G271" t="s">
        <v>55</v>
      </c>
      <c r="H271">
        <v>9600</v>
      </c>
      <c r="I271" s="2">
        <v>41000</v>
      </c>
      <c r="J271" t="s">
        <v>17</v>
      </c>
      <c r="K271">
        <v>27</v>
      </c>
      <c r="M271" t="s">
        <v>17</v>
      </c>
      <c r="N271">
        <v>25000</v>
      </c>
    </row>
    <row r="272" spans="1:14">
      <c r="A272" t="s">
        <v>14</v>
      </c>
      <c r="B272" t="s">
        <v>592</v>
      </c>
      <c r="C272" t="s">
        <v>593</v>
      </c>
      <c r="D272">
        <v>65</v>
      </c>
      <c r="E272" s="1">
        <v>22505</v>
      </c>
      <c r="F272" t="s">
        <v>75</v>
      </c>
      <c r="G272" t="s">
        <v>41</v>
      </c>
      <c r="H272" s="2">
        <v>29000</v>
      </c>
      <c r="I272">
        <v>28500</v>
      </c>
      <c r="J272" t="s">
        <v>17</v>
      </c>
      <c r="K272">
        <v>28</v>
      </c>
      <c r="M272" t="s">
        <v>17</v>
      </c>
      <c r="N272">
        <v>57500</v>
      </c>
    </row>
    <row r="273" spans="1:14">
      <c r="A273" t="s">
        <v>14</v>
      </c>
      <c r="B273" t="s">
        <v>594</v>
      </c>
      <c r="C273">
        <v>30000</v>
      </c>
      <c r="D273">
        <v>48</v>
      </c>
      <c r="E273" s="1">
        <v>28509</v>
      </c>
      <c r="F273" t="s">
        <v>160</v>
      </c>
      <c r="G273" t="s">
        <v>192</v>
      </c>
      <c r="H273" t="s">
        <v>595</v>
      </c>
      <c r="I273" s="2">
        <v>9000</v>
      </c>
      <c r="J273">
        <v>0</v>
      </c>
      <c r="K273">
        <v>28</v>
      </c>
      <c r="M273">
        <v>0</v>
      </c>
      <c r="N273">
        <v>80000</v>
      </c>
    </row>
    <row r="274" spans="1:14">
      <c r="A274" t="s">
        <v>14</v>
      </c>
      <c r="B274" t="s">
        <v>596</v>
      </c>
      <c r="C274">
        <v>28500</v>
      </c>
      <c r="D274" t="s">
        <v>597</v>
      </c>
      <c r="E274" s="1">
        <v>31115</v>
      </c>
      <c r="F274" t="s">
        <v>40</v>
      </c>
      <c r="G274" t="s">
        <v>41</v>
      </c>
      <c r="H274">
        <v>23100</v>
      </c>
      <c r="I274">
        <v>36000</v>
      </c>
      <c r="J274" t="s">
        <v>17</v>
      </c>
      <c r="K274">
        <v>19</v>
      </c>
      <c r="M274" t="s">
        <v>17</v>
      </c>
      <c r="N274">
        <v>37500</v>
      </c>
    </row>
    <row r="275" spans="1:14">
      <c r="A275" t="s">
        <v>14</v>
      </c>
      <c r="B275" t="s">
        <v>596</v>
      </c>
      <c r="C275" t="s">
        <v>598</v>
      </c>
      <c r="D275">
        <v>73</v>
      </c>
      <c r="E275" s="1">
        <v>19363</v>
      </c>
      <c r="F275" t="s">
        <v>20</v>
      </c>
      <c r="G275" t="s">
        <v>21</v>
      </c>
      <c r="H275" t="s">
        <v>599</v>
      </c>
      <c r="I275" s="2">
        <v>19000</v>
      </c>
      <c r="J275" t="s">
        <v>17</v>
      </c>
      <c r="K275">
        <v>0</v>
      </c>
      <c r="M275" t="s">
        <v>17</v>
      </c>
      <c r="N275">
        <v>17000</v>
      </c>
    </row>
    <row r="276" spans="1:14">
      <c r="A276" t="s">
        <v>14</v>
      </c>
      <c r="B276" t="s">
        <v>600</v>
      </c>
      <c r="C276" t="s">
        <v>601</v>
      </c>
      <c r="E276" s="1">
        <v>21378</v>
      </c>
      <c r="F276" t="s">
        <v>30</v>
      </c>
      <c r="H276">
        <v>14300</v>
      </c>
      <c r="I276">
        <v>32500</v>
      </c>
      <c r="J276" t="s">
        <v>65</v>
      </c>
      <c r="K276">
        <v>15</v>
      </c>
      <c r="M276" t="s">
        <v>65</v>
      </c>
      <c r="N276">
        <v>8000</v>
      </c>
    </row>
    <row r="277" spans="1:14">
      <c r="A277" t="s">
        <v>14</v>
      </c>
      <c r="B277" t="s">
        <v>602</v>
      </c>
      <c r="C277" t="s">
        <v>603</v>
      </c>
      <c r="D277">
        <v>25</v>
      </c>
      <c r="E277" s="1">
        <v>36824</v>
      </c>
      <c r="F277" t="s">
        <v>40</v>
      </c>
      <c r="G277" t="s">
        <v>41</v>
      </c>
      <c r="H277">
        <v>18300</v>
      </c>
      <c r="I277">
        <v>41000</v>
      </c>
      <c r="J277" t="s">
        <v>17</v>
      </c>
      <c r="K277">
        <v>9</v>
      </c>
      <c r="M277" t="s">
        <v>17</v>
      </c>
      <c r="N277">
        <v>32500</v>
      </c>
    </row>
    <row r="278" spans="1:14">
      <c r="A278" t="s">
        <v>28</v>
      </c>
      <c r="B278" t="s">
        <v>604</v>
      </c>
      <c r="C278">
        <v>32700</v>
      </c>
      <c r="D278">
        <v>57</v>
      </c>
      <c r="E278" s="1">
        <v>25369</v>
      </c>
      <c r="F278" t="s">
        <v>62</v>
      </c>
      <c r="G278" t="s">
        <v>48</v>
      </c>
      <c r="H278">
        <v>28600</v>
      </c>
      <c r="I278" s="2">
        <v>73500</v>
      </c>
      <c r="J278" t="s">
        <v>17</v>
      </c>
      <c r="K278">
        <v>29</v>
      </c>
      <c r="M278" t="s">
        <v>17</v>
      </c>
      <c r="N278">
        <v>93500</v>
      </c>
    </row>
    <row r="279" spans="1:14">
      <c r="A279" t="s">
        <v>28</v>
      </c>
      <c r="B279" t="s">
        <v>605</v>
      </c>
      <c r="C279">
        <v>23000</v>
      </c>
      <c r="D279">
        <v>53</v>
      </c>
      <c r="E279" s="1">
        <v>26744</v>
      </c>
      <c r="F279" t="s">
        <v>44</v>
      </c>
      <c r="G279" t="s">
        <v>79</v>
      </c>
      <c r="H279" s="2">
        <v>26400</v>
      </c>
      <c r="I279">
        <v>9500</v>
      </c>
      <c r="J279" t="s">
        <v>72</v>
      </c>
      <c r="K279">
        <v>21</v>
      </c>
      <c r="M279" t="s">
        <v>72</v>
      </c>
      <c r="N279">
        <v>16000</v>
      </c>
    </row>
    <row r="280" spans="1:14">
      <c r="A280" t="s">
        <v>14</v>
      </c>
      <c r="B280" t="s">
        <v>606</v>
      </c>
      <c r="C280" t="s">
        <v>607</v>
      </c>
      <c r="D280">
        <v>57</v>
      </c>
      <c r="E280" s="1">
        <v>25350</v>
      </c>
      <c r="F280" t="s">
        <v>160</v>
      </c>
      <c r="G280" t="s">
        <v>55</v>
      </c>
      <c r="H280">
        <v>20600</v>
      </c>
      <c r="I280">
        <v>52500</v>
      </c>
      <c r="K280">
        <v>16</v>
      </c>
      <c r="N280">
        <v>97000</v>
      </c>
    </row>
    <row r="281" spans="1:14">
      <c r="A281" t="s">
        <v>14</v>
      </c>
      <c r="B281" t="s">
        <v>608</v>
      </c>
      <c r="C281" t="s">
        <v>609</v>
      </c>
      <c r="D281">
        <v>27</v>
      </c>
      <c r="E281" s="1">
        <v>36288</v>
      </c>
      <c r="F281" t="s">
        <v>242</v>
      </c>
      <c r="G281" t="s">
        <v>41</v>
      </c>
      <c r="H281">
        <v>29700</v>
      </c>
      <c r="I281">
        <v>12000</v>
      </c>
      <c r="J281" t="s">
        <v>17</v>
      </c>
      <c r="K281">
        <v>37</v>
      </c>
      <c r="M281" t="s">
        <v>17</v>
      </c>
      <c r="N281">
        <v>49000</v>
      </c>
    </row>
    <row r="282" spans="1:14">
      <c r="A282" t="s">
        <v>14</v>
      </c>
      <c r="B282" t="s">
        <v>610</v>
      </c>
      <c r="C282" t="s">
        <v>611</v>
      </c>
      <c r="D282">
        <v>25</v>
      </c>
      <c r="E282" s="1">
        <v>37118</v>
      </c>
      <c r="F282" t="s">
        <v>20</v>
      </c>
      <c r="G282" t="s">
        <v>21</v>
      </c>
      <c r="H282" t="s">
        <v>612</v>
      </c>
      <c r="I282">
        <v>1500</v>
      </c>
      <c r="J282">
        <v>1</v>
      </c>
      <c r="K282">
        <v>33</v>
      </c>
      <c r="M282">
        <v>1</v>
      </c>
      <c r="N282">
        <v>14000</v>
      </c>
    </row>
    <row r="283" spans="1:14">
      <c r="A283" t="s">
        <v>14</v>
      </c>
      <c r="B283" t="s">
        <v>613</v>
      </c>
      <c r="C283" t="s">
        <v>614</v>
      </c>
      <c r="D283">
        <v>67</v>
      </c>
      <c r="E283" s="1">
        <v>21624</v>
      </c>
      <c r="F283" t="s">
        <v>242</v>
      </c>
      <c r="G283" t="s">
        <v>172</v>
      </c>
      <c r="H283">
        <v>8500</v>
      </c>
      <c r="I283" s="2">
        <v>39500</v>
      </c>
      <c r="J283" t="s">
        <v>65</v>
      </c>
      <c r="M283" t="s">
        <v>65</v>
      </c>
      <c r="N283">
        <v>42000</v>
      </c>
    </row>
    <row r="284" spans="1:14">
      <c r="A284" t="s">
        <v>14</v>
      </c>
      <c r="B284" t="s">
        <v>615</v>
      </c>
      <c r="C284">
        <v>13700</v>
      </c>
      <c r="D284">
        <v>73</v>
      </c>
      <c r="E284" s="1">
        <v>19323</v>
      </c>
      <c r="F284" t="s">
        <v>150</v>
      </c>
      <c r="G284" t="s">
        <v>285</v>
      </c>
      <c r="H284">
        <v>18100</v>
      </c>
      <c r="I284">
        <v>0</v>
      </c>
      <c r="J284" t="s">
        <v>17</v>
      </c>
      <c r="K284">
        <v>36</v>
      </c>
      <c r="M284" t="s">
        <v>17</v>
      </c>
      <c r="N284">
        <v>89000</v>
      </c>
    </row>
    <row r="285" spans="1:14">
      <c r="A285" t="s">
        <v>14</v>
      </c>
      <c r="B285" t="s">
        <v>616</v>
      </c>
      <c r="C285">
        <v>18800</v>
      </c>
      <c r="D285">
        <v>43</v>
      </c>
      <c r="E285" s="1">
        <v>30355</v>
      </c>
      <c r="F285" t="s">
        <v>75</v>
      </c>
      <c r="G285" t="s">
        <v>41</v>
      </c>
      <c r="H285" s="2">
        <v>21700</v>
      </c>
      <c r="I285">
        <v>31000</v>
      </c>
      <c r="J285" t="s">
        <v>17</v>
      </c>
      <c r="K285">
        <v>27</v>
      </c>
      <c r="M285" t="s">
        <v>17</v>
      </c>
      <c r="N285">
        <v>45500</v>
      </c>
    </row>
    <row r="286" spans="1:14">
      <c r="A286" t="s">
        <v>28</v>
      </c>
      <c r="B286" t="s">
        <v>617</v>
      </c>
      <c r="C286">
        <v>34900</v>
      </c>
      <c r="D286" t="s">
        <v>618</v>
      </c>
      <c r="E286" s="1">
        <v>34387</v>
      </c>
      <c r="F286" t="s">
        <v>40</v>
      </c>
      <c r="G286" t="s">
        <v>41</v>
      </c>
      <c r="H286">
        <v>20500</v>
      </c>
      <c r="I286">
        <v>0</v>
      </c>
      <c r="J286" t="s">
        <v>17</v>
      </c>
      <c r="K286" t="s">
        <v>619</v>
      </c>
      <c r="M286" t="s">
        <v>17</v>
      </c>
      <c r="N286">
        <v>54500</v>
      </c>
    </row>
    <row r="287" spans="1:14">
      <c r="A287" t="s">
        <v>620</v>
      </c>
      <c r="B287" t="s">
        <v>617</v>
      </c>
      <c r="C287" t="s">
        <v>621</v>
      </c>
      <c r="D287">
        <v>63</v>
      </c>
      <c r="E287" s="1">
        <v>23084</v>
      </c>
      <c r="F287" t="s">
        <v>101</v>
      </c>
      <c r="G287" t="s">
        <v>21</v>
      </c>
      <c r="H287">
        <v>17300</v>
      </c>
      <c r="I287">
        <v>22000</v>
      </c>
      <c r="J287" t="s">
        <v>17</v>
      </c>
      <c r="K287">
        <v>10</v>
      </c>
      <c r="M287" t="s">
        <v>17</v>
      </c>
      <c r="N287">
        <v>97000</v>
      </c>
    </row>
    <row r="288" spans="1:14">
      <c r="A288" t="s">
        <v>14</v>
      </c>
      <c r="B288" t="s">
        <v>622</v>
      </c>
      <c r="C288" t="s">
        <v>623</v>
      </c>
      <c r="D288">
        <v>53</v>
      </c>
      <c r="E288" s="1">
        <v>26620</v>
      </c>
      <c r="F288" t="s">
        <v>51</v>
      </c>
      <c r="G288" t="s">
        <v>220</v>
      </c>
      <c r="H288" s="2">
        <v>21300</v>
      </c>
      <c r="I288">
        <v>79500</v>
      </c>
      <c r="J288" t="s">
        <v>17</v>
      </c>
      <c r="K288" t="s">
        <v>425</v>
      </c>
      <c r="M288" t="s">
        <v>17</v>
      </c>
      <c r="N288">
        <v>19000</v>
      </c>
    </row>
    <row r="289" spans="1:14">
      <c r="A289" t="s">
        <v>14</v>
      </c>
      <c r="B289" t="s">
        <v>624</v>
      </c>
      <c r="C289">
        <v>15400</v>
      </c>
      <c r="D289">
        <v>42</v>
      </c>
      <c r="E289" s="1">
        <v>30642</v>
      </c>
      <c r="F289" t="s">
        <v>34</v>
      </c>
      <c r="G289" t="s">
        <v>34</v>
      </c>
      <c r="H289" t="s">
        <v>113</v>
      </c>
      <c r="I289">
        <v>19500</v>
      </c>
      <c r="J289" t="s">
        <v>17</v>
      </c>
      <c r="K289">
        <v>42</v>
      </c>
      <c r="M289" t="s">
        <v>17</v>
      </c>
      <c r="N289">
        <v>89500</v>
      </c>
    </row>
    <row r="290" spans="1:14">
      <c r="A290" t="s">
        <v>28</v>
      </c>
      <c r="B290" t="s">
        <v>625</v>
      </c>
      <c r="C290">
        <v>16000</v>
      </c>
      <c r="D290">
        <v>73</v>
      </c>
      <c r="E290" s="1">
        <v>19299</v>
      </c>
      <c r="F290" t="s">
        <v>180</v>
      </c>
      <c r="G290" t="s">
        <v>491</v>
      </c>
      <c r="H290">
        <v>7100</v>
      </c>
      <c r="I290" s="2">
        <v>58000</v>
      </c>
      <c r="J290" t="s">
        <v>65</v>
      </c>
      <c r="K290">
        <v>22</v>
      </c>
      <c r="M290" t="s">
        <v>65</v>
      </c>
      <c r="N290">
        <v>46500</v>
      </c>
    </row>
    <row r="291" spans="1:14">
      <c r="A291" t="s">
        <v>14</v>
      </c>
      <c r="B291" t="s">
        <v>626</v>
      </c>
      <c r="C291" t="s">
        <v>627</v>
      </c>
      <c r="D291">
        <v>29</v>
      </c>
      <c r="E291" s="1">
        <v>35323</v>
      </c>
      <c r="F291" t="s">
        <v>20</v>
      </c>
      <c r="G291" t="s">
        <v>21</v>
      </c>
      <c r="H291">
        <v>21200</v>
      </c>
      <c r="I291">
        <v>75000</v>
      </c>
      <c r="J291" t="s">
        <v>17</v>
      </c>
      <c r="K291">
        <v>6</v>
      </c>
      <c r="M291" t="s">
        <v>17</v>
      </c>
      <c r="N291">
        <v>63500</v>
      </c>
    </row>
    <row r="292" spans="1:14">
      <c r="A292" t="s">
        <v>14</v>
      </c>
      <c r="B292" t="s">
        <v>628</v>
      </c>
      <c r="C292" t="s">
        <v>629</v>
      </c>
      <c r="D292">
        <v>62</v>
      </c>
      <c r="E292" s="1">
        <v>23317</v>
      </c>
      <c r="F292" t="s">
        <v>242</v>
      </c>
      <c r="G292" t="s">
        <v>41</v>
      </c>
      <c r="H292">
        <v>10500</v>
      </c>
      <c r="I292">
        <v>0</v>
      </c>
      <c r="J292" t="s">
        <v>65</v>
      </c>
      <c r="K292" t="s">
        <v>205</v>
      </c>
      <c r="M292" t="s">
        <v>65</v>
      </c>
      <c r="N292">
        <v>54500</v>
      </c>
    </row>
    <row r="293" spans="1:14">
      <c r="A293" t="s">
        <v>14</v>
      </c>
      <c r="B293" t="s">
        <v>630</v>
      </c>
      <c r="C293">
        <v>8200</v>
      </c>
      <c r="D293">
        <v>20</v>
      </c>
      <c r="E293" s="1">
        <v>38894</v>
      </c>
      <c r="F293" t="s">
        <v>75</v>
      </c>
      <c r="G293" t="s">
        <v>198</v>
      </c>
      <c r="H293">
        <v>24900</v>
      </c>
      <c r="I293">
        <v>0</v>
      </c>
      <c r="J293" t="s">
        <v>65</v>
      </c>
      <c r="K293">
        <v>14</v>
      </c>
      <c r="M293" t="s">
        <v>65</v>
      </c>
      <c r="N293">
        <v>49500</v>
      </c>
    </row>
    <row r="294" spans="1:14">
      <c r="A294" t="s">
        <v>195</v>
      </c>
      <c r="B294" t="s">
        <v>631</v>
      </c>
      <c r="C294">
        <v>33700</v>
      </c>
      <c r="D294">
        <v>44</v>
      </c>
      <c r="E294" s="1">
        <v>30167</v>
      </c>
      <c r="F294" t="s">
        <v>101</v>
      </c>
      <c r="H294">
        <v>5500</v>
      </c>
      <c r="I294" s="2">
        <v>26000</v>
      </c>
      <c r="J294" t="s">
        <v>17</v>
      </c>
      <c r="K294" t="s">
        <v>401</v>
      </c>
      <c r="M294" t="s">
        <v>17</v>
      </c>
      <c r="N294">
        <v>64000</v>
      </c>
    </row>
    <row r="295" spans="1:14">
      <c r="A295" t="s">
        <v>76</v>
      </c>
      <c r="B295" t="s">
        <v>632</v>
      </c>
      <c r="C295" t="s">
        <v>633</v>
      </c>
      <c r="D295">
        <v>71</v>
      </c>
      <c r="E295" s="1">
        <v>20000</v>
      </c>
      <c r="F295" t="s">
        <v>150</v>
      </c>
      <c r="G295" t="s">
        <v>157</v>
      </c>
      <c r="H295">
        <v>15100</v>
      </c>
      <c r="I295" t="s">
        <v>22</v>
      </c>
      <c r="J295" t="s">
        <v>17</v>
      </c>
      <c r="K295">
        <v>42</v>
      </c>
      <c r="M295" t="s">
        <v>17</v>
      </c>
      <c r="N295">
        <v>77000</v>
      </c>
    </row>
    <row r="296" spans="1:14">
      <c r="A296" t="s">
        <v>14</v>
      </c>
      <c r="B296" t="s">
        <v>634</v>
      </c>
      <c r="C296" t="s">
        <v>635</v>
      </c>
      <c r="D296">
        <v>22</v>
      </c>
      <c r="E296" s="1">
        <v>37936</v>
      </c>
      <c r="F296" t="s">
        <v>51</v>
      </c>
      <c r="G296" t="s">
        <v>220</v>
      </c>
      <c r="H296" s="3">
        <v>4100</v>
      </c>
      <c r="I296">
        <v>2000</v>
      </c>
      <c r="J296" t="s">
        <v>17</v>
      </c>
      <c r="K296">
        <v>8</v>
      </c>
      <c r="M296" t="s">
        <v>17</v>
      </c>
      <c r="N296">
        <v>4000</v>
      </c>
    </row>
    <row r="297" spans="1:14">
      <c r="A297" t="s">
        <v>14</v>
      </c>
      <c r="B297" t="s">
        <v>636</v>
      </c>
      <c r="C297" t="s">
        <v>637</v>
      </c>
      <c r="D297">
        <v>25</v>
      </c>
      <c r="E297" s="1">
        <v>36792</v>
      </c>
      <c r="F297" t="s">
        <v>51</v>
      </c>
      <c r="G297" t="s">
        <v>52</v>
      </c>
      <c r="H297">
        <v>22100</v>
      </c>
      <c r="I297">
        <v>30500</v>
      </c>
      <c r="J297" t="s">
        <v>17</v>
      </c>
      <c r="K297" t="s">
        <v>246</v>
      </c>
      <c r="M297" t="s">
        <v>17</v>
      </c>
      <c r="N297">
        <v>48000</v>
      </c>
    </row>
    <row r="298" spans="1:14">
      <c r="A298" t="s">
        <v>14</v>
      </c>
      <c r="B298" t="s">
        <v>638</v>
      </c>
      <c r="C298" t="s">
        <v>639</v>
      </c>
      <c r="D298">
        <v>40</v>
      </c>
      <c r="E298" s="1">
        <v>31539</v>
      </c>
      <c r="F298" t="s">
        <v>99</v>
      </c>
      <c r="G298" t="s">
        <v>41</v>
      </c>
      <c r="H298">
        <v>9900</v>
      </c>
      <c r="I298">
        <v>3500</v>
      </c>
      <c r="J298" t="s">
        <v>17</v>
      </c>
      <c r="K298">
        <v>1</v>
      </c>
      <c r="M298" t="s">
        <v>17</v>
      </c>
      <c r="N298">
        <v>23500</v>
      </c>
    </row>
    <row r="299" spans="1:14">
      <c r="A299" t="s">
        <v>14</v>
      </c>
      <c r="B299" t="s">
        <v>640</v>
      </c>
      <c r="C299">
        <v>12700</v>
      </c>
      <c r="D299">
        <v>26</v>
      </c>
      <c r="E299" s="1">
        <v>36518</v>
      </c>
      <c r="F299" t="s">
        <v>75</v>
      </c>
      <c r="G299" t="s">
        <v>41</v>
      </c>
      <c r="H299" s="2">
        <v>5000</v>
      </c>
      <c r="I299" t="s">
        <v>641</v>
      </c>
      <c r="J299" t="s">
        <v>17</v>
      </c>
      <c r="K299">
        <v>35</v>
      </c>
      <c r="M299" t="s">
        <v>17</v>
      </c>
      <c r="N299">
        <v>18500</v>
      </c>
    </row>
    <row r="300" spans="1:14">
      <c r="A300" t="s">
        <v>14</v>
      </c>
      <c r="B300" t="s">
        <v>642</v>
      </c>
      <c r="C300" t="s">
        <v>643</v>
      </c>
      <c r="D300">
        <v>63</v>
      </c>
      <c r="E300" s="1">
        <v>22900</v>
      </c>
      <c r="F300" t="s">
        <v>34</v>
      </c>
      <c r="G300" t="s">
        <v>34</v>
      </c>
      <c r="H300">
        <v>5500</v>
      </c>
      <c r="I300" s="2">
        <v>41000</v>
      </c>
      <c r="J300" t="s">
        <v>17</v>
      </c>
      <c r="K300">
        <v>2</v>
      </c>
      <c r="M300" t="s">
        <v>17</v>
      </c>
      <c r="N300">
        <v>54500</v>
      </c>
    </row>
    <row r="301" spans="1:14">
      <c r="A301" t="s">
        <v>14</v>
      </c>
      <c r="B301" t="s">
        <v>642</v>
      </c>
      <c r="C301" t="s">
        <v>644</v>
      </c>
      <c r="D301">
        <v>72</v>
      </c>
      <c r="E301" s="1">
        <v>19623</v>
      </c>
      <c r="F301" t="s">
        <v>91</v>
      </c>
      <c r="G301" t="s">
        <v>92</v>
      </c>
      <c r="H301" s="3">
        <v>12600</v>
      </c>
      <c r="I301" s="3">
        <v>5500</v>
      </c>
      <c r="J301" t="s">
        <v>17</v>
      </c>
      <c r="K301">
        <v>35</v>
      </c>
      <c r="M301" t="s">
        <v>17</v>
      </c>
      <c r="N301">
        <v>21000</v>
      </c>
    </row>
    <row r="302" spans="1:14">
      <c r="A302" t="s">
        <v>76</v>
      </c>
      <c r="B302" t="s">
        <v>645</v>
      </c>
      <c r="C302" t="s">
        <v>646</v>
      </c>
      <c r="D302">
        <v>33</v>
      </c>
      <c r="E302" s="1">
        <v>34027</v>
      </c>
      <c r="F302" t="s">
        <v>62</v>
      </c>
      <c r="G302" t="s">
        <v>110</v>
      </c>
      <c r="H302">
        <v>3400</v>
      </c>
      <c r="I302">
        <v>0</v>
      </c>
      <c r="J302" t="s">
        <v>17</v>
      </c>
      <c r="K302">
        <v>13</v>
      </c>
      <c r="M302" t="s">
        <v>17</v>
      </c>
      <c r="N302">
        <v>70000</v>
      </c>
    </row>
    <row r="303" spans="1:14">
      <c r="A303" t="s">
        <v>28</v>
      </c>
      <c r="B303" t="s">
        <v>647</v>
      </c>
      <c r="C303" t="s">
        <v>648</v>
      </c>
      <c r="D303">
        <v>33</v>
      </c>
      <c r="E303" s="1">
        <v>33902</v>
      </c>
      <c r="F303" t="s">
        <v>20</v>
      </c>
      <c r="G303" t="s">
        <v>146</v>
      </c>
      <c r="H303">
        <v>12500</v>
      </c>
      <c r="I303">
        <v>51500</v>
      </c>
      <c r="J303" t="s">
        <v>65</v>
      </c>
      <c r="K303">
        <v>44</v>
      </c>
      <c r="M303" t="s">
        <v>65</v>
      </c>
      <c r="N303">
        <v>24000</v>
      </c>
    </row>
    <row r="304" spans="1:14">
      <c r="A304" t="s">
        <v>28</v>
      </c>
      <c r="B304" t="s">
        <v>649</v>
      </c>
      <c r="C304">
        <v>3400</v>
      </c>
      <c r="D304">
        <v>35</v>
      </c>
      <c r="E304" s="1">
        <v>33204</v>
      </c>
      <c r="F304" t="s">
        <v>242</v>
      </c>
      <c r="G304" t="s">
        <v>198</v>
      </c>
      <c r="H304">
        <v>17600</v>
      </c>
      <c r="I304">
        <v>44000</v>
      </c>
      <c r="J304" t="s">
        <v>27</v>
      </c>
      <c r="K304">
        <v>22</v>
      </c>
      <c r="M304" t="s">
        <v>27</v>
      </c>
      <c r="N304">
        <v>56500</v>
      </c>
    </row>
    <row r="305" spans="1:14">
      <c r="A305" t="s">
        <v>14</v>
      </c>
      <c r="B305" t="s">
        <v>650</v>
      </c>
      <c r="C305" t="s">
        <v>651</v>
      </c>
      <c r="D305">
        <v>71</v>
      </c>
      <c r="E305" s="1">
        <v>20275</v>
      </c>
      <c r="F305" t="s">
        <v>91</v>
      </c>
      <c r="G305" t="s">
        <v>92</v>
      </c>
      <c r="H305">
        <v>14200</v>
      </c>
      <c r="I305">
        <v>51000</v>
      </c>
      <c r="J305" t="s">
        <v>17</v>
      </c>
      <c r="K305">
        <v>10</v>
      </c>
      <c r="M305" t="s">
        <v>17</v>
      </c>
      <c r="N305">
        <v>90500</v>
      </c>
    </row>
    <row r="306" spans="1:14">
      <c r="A306" t="s">
        <v>14</v>
      </c>
      <c r="B306" t="s">
        <v>652</v>
      </c>
      <c r="C306" t="s">
        <v>653</v>
      </c>
      <c r="D306">
        <v>69</v>
      </c>
      <c r="E306" s="1">
        <v>20943</v>
      </c>
      <c r="F306" t="s">
        <v>400</v>
      </c>
      <c r="H306">
        <v>13800</v>
      </c>
      <c r="I306">
        <v>62000</v>
      </c>
      <c r="J306" t="s">
        <v>17</v>
      </c>
      <c r="K306">
        <v>31</v>
      </c>
      <c r="M306" t="s">
        <v>17</v>
      </c>
      <c r="N306">
        <v>60500</v>
      </c>
    </row>
    <row r="307" spans="1:14">
      <c r="A307" t="s">
        <v>28</v>
      </c>
      <c r="B307" t="s">
        <v>654</v>
      </c>
      <c r="C307">
        <v>36100</v>
      </c>
      <c r="D307">
        <v>24</v>
      </c>
      <c r="E307" s="1">
        <v>37313</v>
      </c>
      <c r="F307" t="s">
        <v>180</v>
      </c>
      <c r="G307" t="s">
        <v>38</v>
      </c>
      <c r="H307" t="s">
        <v>655</v>
      </c>
      <c r="I307">
        <v>76500</v>
      </c>
      <c r="J307" t="s">
        <v>65</v>
      </c>
      <c r="K307">
        <v>33</v>
      </c>
      <c r="M307" t="s">
        <v>65</v>
      </c>
      <c r="N307">
        <v>26000</v>
      </c>
    </row>
    <row r="308" spans="1:14">
      <c r="A308" t="s">
        <v>14</v>
      </c>
      <c r="B308" t="s">
        <v>656</v>
      </c>
      <c r="C308" t="s">
        <v>657</v>
      </c>
      <c r="D308">
        <v>34</v>
      </c>
      <c r="E308" s="1">
        <v>33835</v>
      </c>
      <c r="F308" t="s">
        <v>418</v>
      </c>
      <c r="H308">
        <v>5100</v>
      </c>
      <c r="I308">
        <v>17000</v>
      </c>
      <c r="J308" t="s">
        <v>17</v>
      </c>
      <c r="K308" t="s">
        <v>658</v>
      </c>
      <c r="M308" t="s">
        <v>17</v>
      </c>
      <c r="N308">
        <v>4500</v>
      </c>
    </row>
    <row r="309" spans="1:14">
      <c r="A309" t="s">
        <v>14</v>
      </c>
      <c r="B309" t="s">
        <v>659</v>
      </c>
      <c r="C309" t="s">
        <v>660</v>
      </c>
      <c r="D309">
        <v>64</v>
      </c>
      <c r="E309" s="1">
        <v>22886</v>
      </c>
      <c r="F309" t="s">
        <v>44</v>
      </c>
      <c r="G309" t="s">
        <v>79</v>
      </c>
      <c r="H309" s="3">
        <v>8800</v>
      </c>
      <c r="I309" s="2">
        <v>66000</v>
      </c>
      <c r="J309" t="s">
        <v>17</v>
      </c>
      <c r="K309">
        <v>28</v>
      </c>
      <c r="M309" t="s">
        <v>17</v>
      </c>
      <c r="N309">
        <v>5000</v>
      </c>
    </row>
    <row r="310" spans="1:14">
      <c r="A310" t="s">
        <v>14</v>
      </c>
      <c r="B310" t="s">
        <v>661</v>
      </c>
      <c r="C310" t="s">
        <v>662</v>
      </c>
      <c r="E310" s="1">
        <v>34769</v>
      </c>
      <c r="F310" t="s">
        <v>91</v>
      </c>
      <c r="G310" t="s">
        <v>153</v>
      </c>
      <c r="H310">
        <v>9000</v>
      </c>
      <c r="I310">
        <v>66000</v>
      </c>
      <c r="J310" t="s">
        <v>17</v>
      </c>
      <c r="K310">
        <v>24</v>
      </c>
      <c r="M310" t="s">
        <v>17</v>
      </c>
      <c r="N310">
        <v>72000</v>
      </c>
    </row>
    <row r="311" spans="1:14">
      <c r="A311" t="s">
        <v>28</v>
      </c>
      <c r="B311" t="s">
        <v>663</v>
      </c>
      <c r="C311" t="s">
        <v>664</v>
      </c>
      <c r="D311">
        <v>36</v>
      </c>
      <c r="E311" s="1">
        <v>32914</v>
      </c>
      <c r="F311" t="s">
        <v>150</v>
      </c>
      <c r="G311" t="s">
        <v>285</v>
      </c>
      <c r="H311">
        <v>27600</v>
      </c>
      <c r="I311">
        <v>37000</v>
      </c>
      <c r="J311" t="s">
        <v>17</v>
      </c>
      <c r="K311">
        <v>15</v>
      </c>
      <c r="M311" t="s">
        <v>17</v>
      </c>
      <c r="N311">
        <v>41500</v>
      </c>
    </row>
    <row r="312" spans="1:14">
      <c r="A312" t="s">
        <v>14</v>
      </c>
      <c r="B312" t="s">
        <v>665</v>
      </c>
      <c r="C312" t="s">
        <v>666</v>
      </c>
      <c r="D312">
        <v>26</v>
      </c>
      <c r="E312" s="1">
        <v>36622</v>
      </c>
      <c r="F312" t="s">
        <v>34</v>
      </c>
      <c r="G312" t="s">
        <v>34</v>
      </c>
      <c r="H312" t="s">
        <v>667</v>
      </c>
      <c r="I312" s="2">
        <v>65500</v>
      </c>
      <c r="J312" t="s">
        <v>668</v>
      </c>
      <c r="K312">
        <v>40</v>
      </c>
      <c r="M312" t="s">
        <v>668</v>
      </c>
      <c r="N312">
        <v>95500</v>
      </c>
    </row>
    <row r="313" spans="1:14">
      <c r="A313" t="s">
        <v>195</v>
      </c>
      <c r="B313" t="s">
        <v>669</v>
      </c>
      <c r="C313" t="s">
        <v>670</v>
      </c>
      <c r="D313">
        <v>19</v>
      </c>
      <c r="E313" s="1">
        <v>39209</v>
      </c>
      <c r="F313" t="s">
        <v>275</v>
      </c>
      <c r="G313" t="s">
        <v>21</v>
      </c>
      <c r="H313" s="2">
        <v>7200</v>
      </c>
      <c r="I313">
        <v>16000</v>
      </c>
      <c r="J313" t="s">
        <v>17</v>
      </c>
      <c r="K313">
        <v>5</v>
      </c>
      <c r="M313" t="s">
        <v>17</v>
      </c>
      <c r="N313">
        <v>52000</v>
      </c>
    </row>
    <row r="314" spans="1:14">
      <c r="A314" t="s">
        <v>14</v>
      </c>
      <c r="B314" t="s">
        <v>671</v>
      </c>
      <c r="C314" t="s">
        <v>672</v>
      </c>
      <c r="D314">
        <v>71</v>
      </c>
      <c r="E314" s="1">
        <v>20187</v>
      </c>
      <c r="F314" t="s">
        <v>62</v>
      </c>
      <c r="G314" t="s">
        <v>31</v>
      </c>
      <c r="H314">
        <v>29200</v>
      </c>
      <c r="I314">
        <v>73500</v>
      </c>
      <c r="J314" t="s">
        <v>17</v>
      </c>
      <c r="K314">
        <v>2</v>
      </c>
      <c r="M314" t="s">
        <v>17</v>
      </c>
      <c r="N314">
        <v>33000</v>
      </c>
    </row>
    <row r="315" spans="1:14">
      <c r="A315" t="s">
        <v>28</v>
      </c>
      <c r="B315" t="s">
        <v>673</v>
      </c>
      <c r="C315" t="s">
        <v>674</v>
      </c>
      <c r="D315">
        <v>74</v>
      </c>
      <c r="E315" s="1">
        <v>19073</v>
      </c>
      <c r="F315" t="s">
        <v>91</v>
      </c>
      <c r="H315">
        <v>7100</v>
      </c>
      <c r="I315">
        <v>61500</v>
      </c>
      <c r="J315" t="s">
        <v>17</v>
      </c>
      <c r="K315" t="s">
        <v>397</v>
      </c>
      <c r="M315" t="s">
        <v>17</v>
      </c>
      <c r="N315">
        <v>50500</v>
      </c>
    </row>
    <row r="316" spans="1:14">
      <c r="A316" t="s">
        <v>76</v>
      </c>
      <c r="B316" t="s">
        <v>675</v>
      </c>
      <c r="C316" t="s">
        <v>676</v>
      </c>
      <c r="D316">
        <v>53</v>
      </c>
      <c r="E316" s="1">
        <v>26812</v>
      </c>
      <c r="F316" t="s">
        <v>30</v>
      </c>
      <c r="G316" t="s">
        <v>31</v>
      </c>
      <c r="H316">
        <v>27800</v>
      </c>
      <c r="I316" s="2">
        <v>52000</v>
      </c>
      <c r="J316" t="s">
        <v>17</v>
      </c>
      <c r="K316">
        <v>43</v>
      </c>
      <c r="M316" t="s">
        <v>17</v>
      </c>
      <c r="N316">
        <v>93500</v>
      </c>
    </row>
    <row r="317" spans="1:14">
      <c r="A317" t="s">
        <v>14</v>
      </c>
      <c r="B317" t="s">
        <v>677</v>
      </c>
      <c r="C317" t="s">
        <v>678</v>
      </c>
      <c r="D317">
        <v>55</v>
      </c>
      <c r="E317" s="1">
        <v>25844</v>
      </c>
      <c r="F317" t="s">
        <v>20</v>
      </c>
      <c r="G317" t="s">
        <v>235</v>
      </c>
      <c r="H317" s="3">
        <v>17400</v>
      </c>
      <c r="I317" s="2">
        <v>75500</v>
      </c>
      <c r="J317" t="s">
        <v>17</v>
      </c>
      <c r="K317">
        <v>9</v>
      </c>
      <c r="M317" t="s">
        <v>17</v>
      </c>
      <c r="N317">
        <v>52000</v>
      </c>
    </row>
    <row r="318" spans="1:14">
      <c r="A318" t="s">
        <v>14</v>
      </c>
      <c r="B318" t="s">
        <v>679</v>
      </c>
      <c r="C318" t="s">
        <v>680</v>
      </c>
      <c r="D318">
        <v>28</v>
      </c>
      <c r="E318" s="1">
        <v>35993</v>
      </c>
      <c r="F318" t="s">
        <v>91</v>
      </c>
      <c r="G318" t="s">
        <v>92</v>
      </c>
      <c r="H318" s="2">
        <v>13400</v>
      </c>
      <c r="I318" s="2">
        <v>54000</v>
      </c>
      <c r="J318" t="s">
        <v>17</v>
      </c>
      <c r="K318">
        <v>15</v>
      </c>
      <c r="M318" t="s">
        <v>17</v>
      </c>
      <c r="N318">
        <v>99000</v>
      </c>
    </row>
    <row r="319" spans="1:14">
      <c r="A319" t="s">
        <v>14</v>
      </c>
      <c r="B319" t="s">
        <v>681</v>
      </c>
      <c r="C319">
        <v>19300</v>
      </c>
      <c r="D319">
        <v>74</v>
      </c>
      <c r="E319" s="1">
        <v>19131</v>
      </c>
      <c r="F319" t="s">
        <v>104</v>
      </c>
      <c r="G319" t="s">
        <v>86</v>
      </c>
      <c r="H319">
        <v>20700</v>
      </c>
      <c r="I319" s="2">
        <v>17500</v>
      </c>
      <c r="J319" t="s">
        <v>17</v>
      </c>
      <c r="K319">
        <v>35</v>
      </c>
      <c r="M319" t="s">
        <v>17</v>
      </c>
      <c r="N319">
        <v>65000</v>
      </c>
    </row>
    <row r="320" spans="1:14">
      <c r="A320" t="s">
        <v>14</v>
      </c>
      <c r="B320" t="s">
        <v>681</v>
      </c>
      <c r="C320">
        <v>19300</v>
      </c>
      <c r="D320">
        <v>74</v>
      </c>
      <c r="E320" s="1">
        <v>19131</v>
      </c>
      <c r="F320" t="s">
        <v>104</v>
      </c>
      <c r="G320" t="s">
        <v>86</v>
      </c>
      <c r="H320">
        <v>20700</v>
      </c>
      <c r="I320" s="2">
        <v>17500</v>
      </c>
      <c r="J320" t="s">
        <v>17</v>
      </c>
      <c r="K320">
        <v>35</v>
      </c>
      <c r="M320" t="s">
        <v>17</v>
      </c>
      <c r="N320">
        <v>68500</v>
      </c>
    </row>
    <row r="321" spans="1:14">
      <c r="A321" t="s">
        <v>14</v>
      </c>
      <c r="B321" t="s">
        <v>682</v>
      </c>
      <c r="C321" t="s">
        <v>683</v>
      </c>
      <c r="D321">
        <v>27</v>
      </c>
      <c r="E321" s="1">
        <v>36316</v>
      </c>
      <c r="F321" t="s">
        <v>101</v>
      </c>
      <c r="G321" t="s">
        <v>146</v>
      </c>
      <c r="H321" s="3">
        <v>10700</v>
      </c>
      <c r="I321" t="s">
        <v>684</v>
      </c>
      <c r="J321" t="s">
        <v>17</v>
      </c>
      <c r="K321">
        <v>44</v>
      </c>
      <c r="M321" t="s">
        <v>17</v>
      </c>
      <c r="N321">
        <v>48000</v>
      </c>
    </row>
    <row r="322" spans="1:14">
      <c r="A322" t="s">
        <v>14</v>
      </c>
      <c r="B322" t="s">
        <v>682</v>
      </c>
      <c r="C322" t="s">
        <v>685</v>
      </c>
      <c r="D322">
        <v>67</v>
      </c>
      <c r="E322" s="1">
        <v>21573</v>
      </c>
      <c r="F322" t="s">
        <v>150</v>
      </c>
      <c r="G322" t="s">
        <v>157</v>
      </c>
      <c r="H322">
        <v>6400</v>
      </c>
      <c r="I322">
        <v>1000</v>
      </c>
      <c r="J322" t="s">
        <v>27</v>
      </c>
      <c r="K322">
        <v>27</v>
      </c>
      <c r="M322" t="s">
        <v>27</v>
      </c>
      <c r="N322">
        <v>50000</v>
      </c>
    </row>
    <row r="323" spans="1:14">
      <c r="A323" t="s">
        <v>28</v>
      </c>
      <c r="B323" t="s">
        <v>686</v>
      </c>
      <c r="C323" t="s">
        <v>687</v>
      </c>
      <c r="D323">
        <v>65</v>
      </c>
      <c r="E323" s="1">
        <v>22205</v>
      </c>
      <c r="F323" t="s">
        <v>40</v>
      </c>
      <c r="G323" t="s">
        <v>41</v>
      </c>
      <c r="H323">
        <v>19800</v>
      </c>
      <c r="I323" s="3">
        <v>78500</v>
      </c>
      <c r="J323" t="s">
        <v>17</v>
      </c>
      <c r="K323">
        <v>34</v>
      </c>
      <c r="M323" t="s">
        <v>17</v>
      </c>
      <c r="N323">
        <v>23000</v>
      </c>
    </row>
    <row r="324" spans="1:14">
      <c r="A324" t="s">
        <v>14</v>
      </c>
      <c r="B324" t="s">
        <v>688</v>
      </c>
      <c r="C324" t="s">
        <v>689</v>
      </c>
      <c r="D324">
        <v>53</v>
      </c>
      <c r="E324" s="1">
        <v>26631</v>
      </c>
      <c r="F324" t="s">
        <v>150</v>
      </c>
      <c r="G324" t="s">
        <v>285</v>
      </c>
      <c r="H324" s="2">
        <v>22700</v>
      </c>
      <c r="I324">
        <v>42500</v>
      </c>
      <c r="J324" t="s">
        <v>65</v>
      </c>
      <c r="K324">
        <v>25</v>
      </c>
      <c r="M324" t="s">
        <v>65</v>
      </c>
      <c r="N324">
        <v>86000</v>
      </c>
    </row>
    <row r="325" spans="1:14">
      <c r="A325" t="s">
        <v>14</v>
      </c>
      <c r="B325" t="s">
        <v>690</v>
      </c>
      <c r="C325">
        <v>7700</v>
      </c>
      <c r="E325" s="1">
        <v>31337</v>
      </c>
      <c r="F325" t="s">
        <v>160</v>
      </c>
      <c r="G325" t="s">
        <v>55</v>
      </c>
      <c r="H325">
        <v>14000</v>
      </c>
      <c r="I325">
        <v>0</v>
      </c>
      <c r="J325" t="s">
        <v>125</v>
      </c>
      <c r="K325">
        <v>24</v>
      </c>
      <c r="M325" t="s">
        <v>125</v>
      </c>
      <c r="N325">
        <v>82000</v>
      </c>
    </row>
    <row r="326" spans="1:14">
      <c r="A326" t="s">
        <v>14</v>
      </c>
      <c r="B326" t="s">
        <v>691</v>
      </c>
      <c r="C326">
        <v>23900</v>
      </c>
      <c r="D326">
        <v>39</v>
      </c>
      <c r="E326" s="1">
        <v>31740</v>
      </c>
      <c r="F326" t="s">
        <v>44</v>
      </c>
      <c r="G326" t="s">
        <v>45</v>
      </c>
      <c r="H326" s="2">
        <v>13200</v>
      </c>
      <c r="I326" t="s">
        <v>22</v>
      </c>
      <c r="J326" t="s">
        <v>17</v>
      </c>
      <c r="K326" t="s">
        <v>114</v>
      </c>
      <c r="M326" t="s">
        <v>17</v>
      </c>
      <c r="N326">
        <v>36000</v>
      </c>
    </row>
    <row r="327" spans="1:14">
      <c r="A327" t="s">
        <v>14</v>
      </c>
      <c r="B327" t="s">
        <v>691</v>
      </c>
      <c r="C327" t="s">
        <v>692</v>
      </c>
      <c r="D327">
        <v>41</v>
      </c>
      <c r="E327" s="1">
        <v>31156</v>
      </c>
      <c r="F327" t="s">
        <v>99</v>
      </c>
      <c r="G327" t="s">
        <v>172</v>
      </c>
      <c r="H327" s="2">
        <v>26500</v>
      </c>
      <c r="I327" t="s">
        <v>693</v>
      </c>
      <c r="J327" t="s">
        <v>17</v>
      </c>
      <c r="K327">
        <v>5</v>
      </c>
      <c r="M327" t="s">
        <v>17</v>
      </c>
      <c r="N327">
        <v>75000</v>
      </c>
    </row>
    <row r="328" spans="1:14">
      <c r="A328" t="s">
        <v>14</v>
      </c>
      <c r="B328" t="s">
        <v>694</v>
      </c>
      <c r="C328">
        <v>25700</v>
      </c>
      <c r="D328">
        <v>27</v>
      </c>
      <c r="E328" s="1">
        <v>36152</v>
      </c>
      <c r="F328" t="s">
        <v>20</v>
      </c>
      <c r="G328" t="s">
        <v>235</v>
      </c>
      <c r="H328">
        <v>30000</v>
      </c>
      <c r="I328" s="3">
        <v>27000</v>
      </c>
      <c r="J328" t="s">
        <v>72</v>
      </c>
      <c r="K328">
        <v>28</v>
      </c>
      <c r="M328" t="s">
        <v>72</v>
      </c>
      <c r="N328">
        <v>28500</v>
      </c>
    </row>
    <row r="329" spans="1:14">
      <c r="A329" t="s">
        <v>14</v>
      </c>
      <c r="B329" t="s">
        <v>695</v>
      </c>
      <c r="C329" t="s">
        <v>696</v>
      </c>
      <c r="D329">
        <v>51</v>
      </c>
      <c r="E329" s="1">
        <v>27421</v>
      </c>
      <c r="F329" t="s">
        <v>34</v>
      </c>
      <c r="G329" t="s">
        <v>34</v>
      </c>
      <c r="H329">
        <v>26000</v>
      </c>
      <c r="I329">
        <v>47500</v>
      </c>
      <c r="J329" t="s">
        <v>17</v>
      </c>
      <c r="K329">
        <v>45</v>
      </c>
      <c r="M329" t="s">
        <v>17</v>
      </c>
      <c r="N329">
        <v>60500</v>
      </c>
    </row>
    <row r="330" spans="1:14">
      <c r="A330" t="s">
        <v>14</v>
      </c>
      <c r="B330" t="s">
        <v>695</v>
      </c>
      <c r="C330" t="s">
        <v>697</v>
      </c>
      <c r="E330" s="1">
        <v>25925</v>
      </c>
      <c r="F330" t="s">
        <v>44</v>
      </c>
      <c r="G330" t="s">
        <v>45</v>
      </c>
      <c r="H330" s="2">
        <v>20200</v>
      </c>
      <c r="I330">
        <v>61000</v>
      </c>
      <c r="J330" t="s">
        <v>17</v>
      </c>
      <c r="K330">
        <v>10</v>
      </c>
      <c r="M330" t="s">
        <v>17</v>
      </c>
      <c r="N330">
        <v>6500</v>
      </c>
    </row>
    <row r="331" spans="1:14">
      <c r="A331" t="s">
        <v>14</v>
      </c>
      <c r="B331" t="s">
        <v>698</v>
      </c>
      <c r="C331" t="s">
        <v>699</v>
      </c>
      <c r="D331">
        <v>33</v>
      </c>
      <c r="E331" s="1">
        <v>34147</v>
      </c>
      <c r="F331" t="s">
        <v>30</v>
      </c>
      <c r="G331" t="s">
        <v>31</v>
      </c>
      <c r="H331">
        <v>28700</v>
      </c>
      <c r="I331">
        <v>12500</v>
      </c>
      <c r="J331" t="s">
        <v>17</v>
      </c>
      <c r="K331">
        <v>41</v>
      </c>
      <c r="M331" t="s">
        <v>17</v>
      </c>
      <c r="N331">
        <v>99500</v>
      </c>
    </row>
    <row r="332" spans="1:14">
      <c r="A332" t="s">
        <v>28</v>
      </c>
      <c r="B332" t="s">
        <v>700</v>
      </c>
      <c r="C332" t="s">
        <v>701</v>
      </c>
      <c r="D332">
        <v>63</v>
      </c>
      <c r="E332" s="1">
        <v>22994</v>
      </c>
      <c r="F332" t="s">
        <v>44</v>
      </c>
      <c r="G332" t="s">
        <v>282</v>
      </c>
      <c r="H332">
        <v>20000</v>
      </c>
      <c r="I332" s="2">
        <v>29500</v>
      </c>
      <c r="J332" t="s">
        <v>17</v>
      </c>
      <c r="K332">
        <v>42</v>
      </c>
      <c r="M332" t="s">
        <v>17</v>
      </c>
      <c r="N332">
        <v>5000</v>
      </c>
    </row>
    <row r="333" spans="1:14">
      <c r="A333" t="s">
        <v>28</v>
      </c>
      <c r="B333" t="s">
        <v>702</v>
      </c>
      <c r="C333" t="s">
        <v>703</v>
      </c>
      <c r="D333">
        <v>58</v>
      </c>
      <c r="E333" s="1">
        <v>24872</v>
      </c>
      <c r="F333" t="s">
        <v>44</v>
      </c>
      <c r="G333" t="s">
        <v>45</v>
      </c>
      <c r="H333" s="2">
        <v>12500</v>
      </c>
      <c r="I333" s="3">
        <v>44500</v>
      </c>
      <c r="J333" t="s">
        <v>27</v>
      </c>
      <c r="K333">
        <v>13</v>
      </c>
      <c r="M333" t="s">
        <v>27</v>
      </c>
      <c r="N333">
        <v>16000</v>
      </c>
    </row>
    <row r="334" spans="1:14">
      <c r="A334" t="s">
        <v>28</v>
      </c>
      <c r="B334" t="s">
        <v>702</v>
      </c>
      <c r="C334" t="s">
        <v>703</v>
      </c>
      <c r="D334">
        <v>58</v>
      </c>
      <c r="E334" s="1">
        <v>24872</v>
      </c>
      <c r="F334" t="s">
        <v>44</v>
      </c>
      <c r="G334" t="s">
        <v>45</v>
      </c>
      <c r="H334" s="2">
        <v>12500</v>
      </c>
      <c r="I334" s="3">
        <v>44500</v>
      </c>
      <c r="J334" t="s">
        <v>27</v>
      </c>
      <c r="K334">
        <v>13</v>
      </c>
      <c r="M334" t="s">
        <v>27</v>
      </c>
      <c r="N334">
        <v>98500</v>
      </c>
    </row>
    <row r="335" spans="1:14">
      <c r="A335" t="s">
        <v>14</v>
      </c>
      <c r="B335" t="s">
        <v>704</v>
      </c>
      <c r="C335" t="s">
        <v>705</v>
      </c>
      <c r="D335">
        <v>42</v>
      </c>
      <c r="E335" s="1">
        <v>30662</v>
      </c>
      <c r="F335" t="s">
        <v>40</v>
      </c>
      <c r="G335" t="s">
        <v>172</v>
      </c>
      <c r="H335">
        <v>20400</v>
      </c>
      <c r="I335">
        <v>0</v>
      </c>
      <c r="J335" t="s">
        <v>125</v>
      </c>
      <c r="K335">
        <v>0</v>
      </c>
      <c r="M335" t="s">
        <v>125</v>
      </c>
      <c r="N335">
        <v>81000</v>
      </c>
    </row>
    <row r="336" spans="1:14">
      <c r="A336" t="s">
        <v>14</v>
      </c>
      <c r="B336" t="s">
        <v>706</v>
      </c>
      <c r="C336" t="s">
        <v>707</v>
      </c>
      <c r="D336">
        <v>55</v>
      </c>
      <c r="E336" s="1">
        <v>25880</v>
      </c>
      <c r="F336" t="s">
        <v>180</v>
      </c>
      <c r="G336" t="s">
        <v>38</v>
      </c>
      <c r="H336">
        <v>27500</v>
      </c>
      <c r="I336">
        <v>14000</v>
      </c>
      <c r="J336" t="s">
        <v>17</v>
      </c>
      <c r="K336">
        <v>3</v>
      </c>
      <c r="M336" t="s">
        <v>17</v>
      </c>
      <c r="N336">
        <v>11500</v>
      </c>
    </row>
    <row r="337" spans="1:14">
      <c r="A337" t="s">
        <v>14</v>
      </c>
      <c r="B337" t="s">
        <v>708</v>
      </c>
      <c r="C337" t="s">
        <v>709</v>
      </c>
      <c r="D337">
        <v>34</v>
      </c>
      <c r="E337" s="1">
        <v>33746</v>
      </c>
      <c r="F337" t="s">
        <v>34</v>
      </c>
      <c r="G337" t="s">
        <v>34</v>
      </c>
      <c r="H337">
        <v>28900</v>
      </c>
      <c r="I337">
        <v>37000</v>
      </c>
      <c r="J337" t="s">
        <v>17</v>
      </c>
      <c r="K337">
        <v>21</v>
      </c>
      <c r="M337" t="s">
        <v>17</v>
      </c>
      <c r="N337">
        <v>97500</v>
      </c>
    </row>
    <row r="338" spans="1:14">
      <c r="A338" t="s">
        <v>14</v>
      </c>
      <c r="B338" t="s">
        <v>710</v>
      </c>
      <c r="C338" t="s">
        <v>711</v>
      </c>
      <c r="D338">
        <v>39</v>
      </c>
      <c r="E338" s="1">
        <v>31972</v>
      </c>
      <c r="F338" t="s">
        <v>25</v>
      </c>
      <c r="G338" t="s">
        <v>192</v>
      </c>
      <c r="H338">
        <v>8700</v>
      </c>
      <c r="I338" t="s">
        <v>108</v>
      </c>
      <c r="J338" t="s">
        <v>17</v>
      </c>
      <c r="K338">
        <v>16</v>
      </c>
      <c r="M338" t="s">
        <v>17</v>
      </c>
      <c r="N338">
        <v>93500</v>
      </c>
    </row>
    <row r="339" spans="1:14">
      <c r="A339" t="s">
        <v>28</v>
      </c>
      <c r="B339" t="s">
        <v>712</v>
      </c>
      <c r="C339" t="s">
        <v>713</v>
      </c>
      <c r="D339">
        <v>67</v>
      </c>
      <c r="E339" s="1">
        <v>21674</v>
      </c>
      <c r="F339" t="s">
        <v>150</v>
      </c>
      <c r="G339" t="s">
        <v>285</v>
      </c>
      <c r="H339">
        <v>15200</v>
      </c>
      <c r="I339">
        <v>67500</v>
      </c>
      <c r="J339" t="s">
        <v>17</v>
      </c>
      <c r="K339">
        <v>12</v>
      </c>
      <c r="M339" t="s">
        <v>17</v>
      </c>
      <c r="N339">
        <v>97500</v>
      </c>
    </row>
    <row r="340" spans="1:14">
      <c r="A340" t="s">
        <v>28</v>
      </c>
      <c r="B340" t="s">
        <v>714</v>
      </c>
      <c r="C340" t="s">
        <v>715</v>
      </c>
      <c r="D340">
        <v>51</v>
      </c>
      <c r="E340" s="1">
        <v>27590</v>
      </c>
      <c r="F340" t="s">
        <v>275</v>
      </c>
      <c r="G340" t="s">
        <v>21</v>
      </c>
      <c r="H340" t="s">
        <v>716</v>
      </c>
      <c r="I340">
        <v>0</v>
      </c>
      <c r="J340" t="s">
        <v>17</v>
      </c>
      <c r="K340">
        <v>17</v>
      </c>
      <c r="M340" t="s">
        <v>17</v>
      </c>
      <c r="N340">
        <v>55500</v>
      </c>
    </row>
    <row r="341" spans="1:14">
      <c r="A341" t="s">
        <v>14</v>
      </c>
      <c r="B341" t="s">
        <v>717</v>
      </c>
      <c r="C341">
        <v>3800</v>
      </c>
      <c r="D341">
        <v>41</v>
      </c>
      <c r="E341" s="1">
        <v>30992</v>
      </c>
      <c r="F341" t="s">
        <v>91</v>
      </c>
      <c r="G341" t="s">
        <v>718</v>
      </c>
      <c r="H341" s="3">
        <v>28600</v>
      </c>
      <c r="I341" s="2">
        <v>67500</v>
      </c>
      <c r="J341" t="s">
        <v>17</v>
      </c>
      <c r="K341">
        <v>39</v>
      </c>
      <c r="M341" t="s">
        <v>17</v>
      </c>
      <c r="N341">
        <v>22000</v>
      </c>
    </row>
    <row r="342" spans="1:14">
      <c r="A342" t="s">
        <v>14</v>
      </c>
      <c r="B342" t="s">
        <v>719</v>
      </c>
      <c r="C342">
        <v>2800</v>
      </c>
      <c r="D342">
        <v>24</v>
      </c>
      <c r="E342" s="1">
        <v>37470</v>
      </c>
      <c r="F342" t="s">
        <v>37</v>
      </c>
      <c r="G342" t="s">
        <v>185</v>
      </c>
      <c r="H342">
        <v>16900</v>
      </c>
      <c r="I342">
        <v>42500</v>
      </c>
      <c r="J342" t="s">
        <v>65</v>
      </c>
      <c r="K342" t="s">
        <v>393</v>
      </c>
      <c r="M342" t="s">
        <v>65</v>
      </c>
      <c r="N342">
        <v>12500</v>
      </c>
    </row>
    <row r="343" spans="1:14">
      <c r="A343" t="s">
        <v>14</v>
      </c>
      <c r="B343" t="s">
        <v>720</v>
      </c>
      <c r="C343">
        <v>27900</v>
      </c>
      <c r="D343">
        <v>71</v>
      </c>
      <c r="E343" s="1">
        <v>20094</v>
      </c>
      <c r="F343" t="s">
        <v>275</v>
      </c>
      <c r="G343" t="s">
        <v>21</v>
      </c>
      <c r="H343">
        <v>24100</v>
      </c>
      <c r="I343">
        <v>0</v>
      </c>
      <c r="J343" t="s">
        <v>27</v>
      </c>
      <c r="K343">
        <v>10</v>
      </c>
      <c r="M343" t="s">
        <v>27</v>
      </c>
      <c r="N343">
        <v>87000</v>
      </c>
    </row>
    <row r="344" spans="1:14">
      <c r="A344" t="s">
        <v>14</v>
      </c>
      <c r="B344" t="s">
        <v>721</v>
      </c>
      <c r="C344">
        <v>19000</v>
      </c>
      <c r="D344">
        <v>42</v>
      </c>
      <c r="E344" s="1">
        <v>30724</v>
      </c>
      <c r="F344" t="s">
        <v>75</v>
      </c>
      <c r="G344" t="s">
        <v>41</v>
      </c>
      <c r="H344">
        <v>18500</v>
      </c>
      <c r="I344" s="2">
        <v>59000</v>
      </c>
      <c r="J344" t="s">
        <v>17</v>
      </c>
      <c r="K344">
        <v>44</v>
      </c>
      <c r="M344" t="s">
        <v>17</v>
      </c>
      <c r="N344">
        <v>16500</v>
      </c>
    </row>
    <row r="345" spans="1:14">
      <c r="A345" t="s">
        <v>28</v>
      </c>
      <c r="B345" t="s">
        <v>722</v>
      </c>
      <c r="C345">
        <v>26700</v>
      </c>
      <c r="D345">
        <v>54</v>
      </c>
      <c r="E345" s="1">
        <v>26453</v>
      </c>
      <c r="F345" t="s">
        <v>150</v>
      </c>
      <c r="G345" t="s">
        <v>157</v>
      </c>
      <c r="H345">
        <v>3900</v>
      </c>
      <c r="I345">
        <v>80000</v>
      </c>
      <c r="J345" t="s">
        <v>17</v>
      </c>
      <c r="K345" t="s">
        <v>619</v>
      </c>
      <c r="M345" t="s">
        <v>17</v>
      </c>
      <c r="N345">
        <v>30000</v>
      </c>
    </row>
    <row r="346" spans="1:14">
      <c r="A346" t="s">
        <v>14</v>
      </c>
      <c r="B346" t="s">
        <v>723</v>
      </c>
      <c r="C346">
        <v>37700</v>
      </c>
      <c r="D346">
        <v>23</v>
      </c>
      <c r="E346" s="1">
        <v>37566</v>
      </c>
      <c r="F346" t="s">
        <v>62</v>
      </c>
      <c r="G346" t="s">
        <v>48</v>
      </c>
      <c r="H346">
        <v>2600</v>
      </c>
      <c r="I346">
        <v>0</v>
      </c>
      <c r="J346" t="s">
        <v>65</v>
      </c>
      <c r="K346">
        <v>30</v>
      </c>
      <c r="M346" t="s">
        <v>65</v>
      </c>
      <c r="N346">
        <v>11000</v>
      </c>
    </row>
    <row r="347" spans="1:14">
      <c r="A347" t="s">
        <v>14</v>
      </c>
      <c r="B347" t="s">
        <v>724</v>
      </c>
      <c r="C347" t="s">
        <v>725</v>
      </c>
      <c r="D347">
        <v>56</v>
      </c>
      <c r="E347" s="1">
        <v>25808</v>
      </c>
      <c r="F347" t="s">
        <v>101</v>
      </c>
      <c r="G347" t="s">
        <v>21</v>
      </c>
      <c r="H347">
        <v>5400</v>
      </c>
      <c r="I347">
        <v>61000</v>
      </c>
      <c r="J347" t="s">
        <v>17</v>
      </c>
      <c r="K347">
        <v>12</v>
      </c>
      <c r="M347" t="s">
        <v>17</v>
      </c>
      <c r="N347">
        <v>96500</v>
      </c>
    </row>
    <row r="348" spans="1:14">
      <c r="A348" t="s">
        <v>76</v>
      </c>
      <c r="B348" t="s">
        <v>726</v>
      </c>
      <c r="C348" t="s">
        <v>727</v>
      </c>
      <c r="D348">
        <v>47</v>
      </c>
      <c r="F348" t="s">
        <v>62</v>
      </c>
      <c r="H348" s="3">
        <v>11600</v>
      </c>
      <c r="I348" s="3">
        <v>63500</v>
      </c>
      <c r="J348">
        <v>0</v>
      </c>
      <c r="K348">
        <v>18</v>
      </c>
      <c r="M348">
        <v>0</v>
      </c>
      <c r="N348">
        <v>3000</v>
      </c>
    </row>
    <row r="349" spans="1:14">
      <c r="A349" t="s">
        <v>14</v>
      </c>
      <c r="B349" t="s">
        <v>728</v>
      </c>
      <c r="C349">
        <v>27200</v>
      </c>
      <c r="D349">
        <v>56</v>
      </c>
      <c r="E349" s="1">
        <v>25710</v>
      </c>
      <c r="F349" t="s">
        <v>99</v>
      </c>
      <c r="G349" t="s">
        <v>41</v>
      </c>
      <c r="H349">
        <v>14100</v>
      </c>
      <c r="I349">
        <v>1500</v>
      </c>
      <c r="J349" t="s">
        <v>17</v>
      </c>
      <c r="K349">
        <v>26</v>
      </c>
      <c r="M349" t="s">
        <v>17</v>
      </c>
      <c r="N349">
        <v>36000</v>
      </c>
    </row>
    <row r="350" spans="1:14">
      <c r="A350" t="s">
        <v>14</v>
      </c>
      <c r="B350" t="s">
        <v>729</v>
      </c>
      <c r="C350" t="s">
        <v>730</v>
      </c>
      <c r="D350">
        <v>28</v>
      </c>
      <c r="E350" s="1">
        <v>35887</v>
      </c>
      <c r="F350" t="s">
        <v>104</v>
      </c>
      <c r="G350" t="s">
        <v>70</v>
      </c>
      <c r="H350" t="s">
        <v>731</v>
      </c>
      <c r="I350">
        <v>51000</v>
      </c>
      <c r="J350" t="s">
        <v>125</v>
      </c>
      <c r="K350">
        <v>12</v>
      </c>
      <c r="M350" t="s">
        <v>125</v>
      </c>
      <c r="N350">
        <v>72500</v>
      </c>
    </row>
    <row r="351" spans="1:14">
      <c r="A351" t="s">
        <v>14</v>
      </c>
      <c r="B351" t="s">
        <v>732</v>
      </c>
      <c r="C351">
        <v>26400</v>
      </c>
      <c r="D351">
        <v>57</v>
      </c>
      <c r="E351" s="1">
        <v>25238</v>
      </c>
      <c r="F351" t="s">
        <v>304</v>
      </c>
      <c r="H351">
        <v>3200</v>
      </c>
      <c r="J351" t="s">
        <v>17</v>
      </c>
      <c r="K351">
        <v>18</v>
      </c>
      <c r="M351" t="s">
        <v>17</v>
      </c>
      <c r="N351">
        <v>64000</v>
      </c>
    </row>
    <row r="352" spans="1:14">
      <c r="A352" t="s">
        <v>14</v>
      </c>
      <c r="B352" t="s">
        <v>733</v>
      </c>
      <c r="C352" t="s">
        <v>734</v>
      </c>
      <c r="D352">
        <v>60</v>
      </c>
      <c r="E352" s="1">
        <v>24054</v>
      </c>
      <c r="F352" t="s">
        <v>51</v>
      </c>
      <c r="G352" t="s">
        <v>220</v>
      </c>
      <c r="H352">
        <v>22600</v>
      </c>
      <c r="I352" t="s">
        <v>735</v>
      </c>
      <c r="J352" t="s">
        <v>17</v>
      </c>
      <c r="K352">
        <v>9</v>
      </c>
      <c r="M352" t="s">
        <v>17</v>
      </c>
      <c r="N352">
        <v>58500</v>
      </c>
    </row>
    <row r="353" spans="1:14">
      <c r="A353" t="s">
        <v>14</v>
      </c>
      <c r="B353" t="s">
        <v>733</v>
      </c>
      <c r="C353" t="s">
        <v>736</v>
      </c>
      <c r="D353">
        <v>67</v>
      </c>
      <c r="E353" s="1">
        <v>21497</v>
      </c>
      <c r="F353" t="s">
        <v>135</v>
      </c>
      <c r="H353" t="s">
        <v>737</v>
      </c>
      <c r="I353" s="2">
        <v>73500</v>
      </c>
      <c r="J353" t="s">
        <v>65</v>
      </c>
      <c r="K353">
        <v>7</v>
      </c>
      <c r="M353" t="s">
        <v>65</v>
      </c>
      <c r="N353">
        <v>24500</v>
      </c>
    </row>
    <row r="354" spans="1:14">
      <c r="A354" t="s">
        <v>57</v>
      </c>
      <c r="B354" t="s">
        <v>738</v>
      </c>
      <c r="D354">
        <v>61</v>
      </c>
      <c r="E354" s="1">
        <v>23932</v>
      </c>
      <c r="F354" t="s">
        <v>25</v>
      </c>
      <c r="G354" t="s">
        <v>55</v>
      </c>
      <c r="H354">
        <v>4100</v>
      </c>
      <c r="I354">
        <v>78000</v>
      </c>
      <c r="J354" t="s">
        <v>17</v>
      </c>
      <c r="K354">
        <v>25</v>
      </c>
      <c r="M354" t="s">
        <v>17</v>
      </c>
      <c r="N354">
        <v>48000</v>
      </c>
    </row>
    <row r="355" spans="1:14">
      <c r="A355" t="s">
        <v>14</v>
      </c>
      <c r="B355" t="s">
        <v>739</v>
      </c>
      <c r="C355" t="s">
        <v>740</v>
      </c>
      <c r="D355">
        <v>46</v>
      </c>
      <c r="E355" s="1">
        <v>29197</v>
      </c>
      <c r="F355" t="s">
        <v>30</v>
      </c>
      <c r="G355" t="s">
        <v>31</v>
      </c>
      <c r="H355">
        <v>3200</v>
      </c>
      <c r="I355">
        <v>0</v>
      </c>
      <c r="J355" t="s">
        <v>17</v>
      </c>
      <c r="K355">
        <v>16</v>
      </c>
      <c r="M355" t="s">
        <v>17</v>
      </c>
      <c r="N355">
        <v>61500</v>
      </c>
    </row>
    <row r="356" spans="1:14">
      <c r="A356" t="s">
        <v>230</v>
      </c>
      <c r="B356" t="s">
        <v>741</v>
      </c>
      <c r="C356" t="s">
        <v>742</v>
      </c>
      <c r="E356" s="1">
        <v>39230</v>
      </c>
      <c r="F356" t="s">
        <v>20</v>
      </c>
      <c r="G356" t="s">
        <v>21</v>
      </c>
      <c r="H356" t="s">
        <v>743</v>
      </c>
      <c r="I356" s="3">
        <v>49500</v>
      </c>
      <c r="J356" t="s">
        <v>17</v>
      </c>
      <c r="K356">
        <v>25</v>
      </c>
      <c r="M356" t="s">
        <v>17</v>
      </c>
      <c r="N356">
        <v>46500</v>
      </c>
    </row>
    <row r="357" spans="1:14">
      <c r="A357" t="s">
        <v>28</v>
      </c>
      <c r="B357" t="s">
        <v>744</v>
      </c>
      <c r="C357" t="s">
        <v>745</v>
      </c>
      <c r="D357">
        <v>33</v>
      </c>
      <c r="E357" s="1">
        <v>33955</v>
      </c>
      <c r="F357" t="s">
        <v>242</v>
      </c>
      <c r="G357" t="s">
        <v>41</v>
      </c>
      <c r="H357">
        <v>25700</v>
      </c>
      <c r="I357">
        <v>35000</v>
      </c>
      <c r="J357" t="s">
        <v>17</v>
      </c>
      <c r="K357">
        <v>40</v>
      </c>
      <c r="M357" t="s">
        <v>17</v>
      </c>
      <c r="N357">
        <v>1000</v>
      </c>
    </row>
    <row r="358" spans="1:14">
      <c r="A358" t="s">
        <v>28</v>
      </c>
      <c r="B358" t="s">
        <v>746</v>
      </c>
      <c r="C358" t="s">
        <v>747</v>
      </c>
      <c r="D358">
        <v>59</v>
      </c>
      <c r="E358" s="1">
        <v>24554</v>
      </c>
      <c r="F358" t="s">
        <v>30</v>
      </c>
      <c r="G358" t="s">
        <v>31</v>
      </c>
      <c r="H358" s="2">
        <v>15200</v>
      </c>
      <c r="I358">
        <v>11000</v>
      </c>
      <c r="J358" t="s">
        <v>27</v>
      </c>
      <c r="K358">
        <v>27</v>
      </c>
      <c r="M358" t="s">
        <v>27</v>
      </c>
      <c r="N358">
        <v>87000</v>
      </c>
    </row>
    <row r="359" spans="1:14">
      <c r="B359" t="s">
        <v>748</v>
      </c>
      <c r="C359" t="s">
        <v>749</v>
      </c>
      <c r="D359">
        <v>54</v>
      </c>
      <c r="E359" s="1">
        <v>26403</v>
      </c>
      <c r="F359" t="s">
        <v>275</v>
      </c>
      <c r="G359" t="s">
        <v>21</v>
      </c>
      <c r="H359" t="s">
        <v>750</v>
      </c>
      <c r="I359" t="s">
        <v>261</v>
      </c>
      <c r="J359" t="s">
        <v>125</v>
      </c>
      <c r="K359">
        <v>32</v>
      </c>
      <c r="M359" t="s">
        <v>125</v>
      </c>
      <c r="N359">
        <v>31500</v>
      </c>
    </row>
    <row r="360" spans="1:14">
      <c r="A360" t="s">
        <v>28</v>
      </c>
      <c r="B360" t="s">
        <v>751</v>
      </c>
      <c r="C360" t="s">
        <v>752</v>
      </c>
      <c r="D360">
        <v>61</v>
      </c>
      <c r="E360" s="1">
        <v>23667</v>
      </c>
      <c r="F360" t="s">
        <v>30</v>
      </c>
      <c r="G360" t="s">
        <v>31</v>
      </c>
      <c r="H360" t="s">
        <v>599</v>
      </c>
      <c r="I360">
        <v>44500</v>
      </c>
      <c r="J360" t="s">
        <v>65</v>
      </c>
      <c r="K360">
        <v>32</v>
      </c>
      <c r="M360" t="s">
        <v>65</v>
      </c>
      <c r="N360">
        <v>2000</v>
      </c>
    </row>
    <row r="361" spans="1:14">
      <c r="A361" t="s">
        <v>14</v>
      </c>
      <c r="B361" t="s">
        <v>753</v>
      </c>
      <c r="C361" t="s">
        <v>754</v>
      </c>
      <c r="D361">
        <v>70</v>
      </c>
      <c r="E361" s="1">
        <v>20533</v>
      </c>
      <c r="F361" t="s">
        <v>150</v>
      </c>
      <c r="G361" t="s">
        <v>285</v>
      </c>
      <c r="H361">
        <v>9100</v>
      </c>
      <c r="I361">
        <v>40500</v>
      </c>
      <c r="J361" t="s">
        <v>17</v>
      </c>
      <c r="K361">
        <v>35</v>
      </c>
      <c r="M361" t="s">
        <v>17</v>
      </c>
      <c r="N361">
        <v>53000</v>
      </c>
    </row>
    <row r="362" spans="1:14">
      <c r="A362" t="s">
        <v>14</v>
      </c>
      <c r="B362" t="s">
        <v>755</v>
      </c>
      <c r="C362">
        <v>34400</v>
      </c>
      <c r="D362">
        <v>64</v>
      </c>
      <c r="E362" s="1">
        <v>22836</v>
      </c>
      <c r="F362" t="s">
        <v>37</v>
      </c>
      <c r="G362" t="s">
        <v>132</v>
      </c>
      <c r="H362">
        <v>24300</v>
      </c>
      <c r="I362" s="3">
        <v>16500</v>
      </c>
      <c r="J362" t="s">
        <v>65</v>
      </c>
      <c r="K362">
        <v>24</v>
      </c>
      <c r="M362" t="s">
        <v>65</v>
      </c>
      <c r="N362">
        <v>57000</v>
      </c>
    </row>
    <row r="363" spans="1:14">
      <c r="A363" t="s">
        <v>14</v>
      </c>
      <c r="B363" t="s">
        <v>756</v>
      </c>
      <c r="C363" t="s">
        <v>757</v>
      </c>
      <c r="D363">
        <v>44</v>
      </c>
      <c r="E363" s="1">
        <v>29892</v>
      </c>
      <c r="F363" t="s">
        <v>91</v>
      </c>
      <c r="G363" t="s">
        <v>92</v>
      </c>
      <c r="H363">
        <v>20600</v>
      </c>
      <c r="I363">
        <v>8000</v>
      </c>
      <c r="J363" t="s">
        <v>17</v>
      </c>
      <c r="K363">
        <v>39</v>
      </c>
      <c r="M363" t="s">
        <v>17</v>
      </c>
      <c r="N363">
        <v>36000</v>
      </c>
    </row>
    <row r="364" spans="1:14">
      <c r="A364" t="s">
        <v>28</v>
      </c>
      <c r="B364" t="s">
        <v>758</v>
      </c>
      <c r="C364" t="s">
        <v>759</v>
      </c>
      <c r="E364" s="1">
        <v>38001</v>
      </c>
      <c r="F364" t="s">
        <v>99</v>
      </c>
      <c r="G364" t="s">
        <v>172</v>
      </c>
      <c r="H364">
        <v>2100</v>
      </c>
      <c r="I364">
        <v>79500</v>
      </c>
      <c r="J364" t="s">
        <v>65</v>
      </c>
      <c r="K364">
        <v>29</v>
      </c>
      <c r="M364" t="s">
        <v>65</v>
      </c>
      <c r="N364">
        <v>64000</v>
      </c>
    </row>
    <row r="365" spans="1:14">
      <c r="A365" t="s">
        <v>14</v>
      </c>
      <c r="B365" t="s">
        <v>760</v>
      </c>
      <c r="C365" t="s">
        <v>761</v>
      </c>
      <c r="D365">
        <v>65</v>
      </c>
      <c r="E365" s="1">
        <v>22436</v>
      </c>
      <c r="F365" t="s">
        <v>51</v>
      </c>
      <c r="G365" t="s">
        <v>220</v>
      </c>
      <c r="H365">
        <v>12700</v>
      </c>
      <c r="I365" s="2">
        <v>60500</v>
      </c>
      <c r="J365" t="s">
        <v>17</v>
      </c>
      <c r="K365">
        <v>36</v>
      </c>
      <c r="M365" t="s">
        <v>17</v>
      </c>
      <c r="N365">
        <v>28000</v>
      </c>
    </row>
    <row r="366" spans="1:14">
      <c r="A366" t="s">
        <v>14</v>
      </c>
      <c r="B366" t="s">
        <v>760</v>
      </c>
      <c r="C366">
        <v>32000</v>
      </c>
      <c r="D366">
        <v>68</v>
      </c>
      <c r="E366" s="1">
        <v>21162</v>
      </c>
      <c r="F366" t="s">
        <v>40</v>
      </c>
      <c r="G366" t="s">
        <v>41</v>
      </c>
      <c r="H366" s="3">
        <v>11500</v>
      </c>
      <c r="I366">
        <v>17500</v>
      </c>
      <c r="J366" t="s">
        <v>17</v>
      </c>
      <c r="K366">
        <v>19</v>
      </c>
      <c r="M366" t="s">
        <v>17</v>
      </c>
      <c r="N366">
        <v>26000</v>
      </c>
    </row>
    <row r="367" spans="1:14">
      <c r="A367" t="s">
        <v>28</v>
      </c>
      <c r="B367" t="s">
        <v>762</v>
      </c>
      <c r="C367">
        <v>6400</v>
      </c>
      <c r="D367">
        <v>57</v>
      </c>
      <c r="E367" s="1">
        <v>25206</v>
      </c>
      <c r="F367" t="s">
        <v>25</v>
      </c>
      <c r="G367" t="s">
        <v>26</v>
      </c>
      <c r="H367">
        <v>3400</v>
      </c>
      <c r="I367">
        <v>0</v>
      </c>
      <c r="J367" t="s">
        <v>17</v>
      </c>
      <c r="K367">
        <v>20</v>
      </c>
      <c r="M367" t="s">
        <v>17</v>
      </c>
      <c r="N367">
        <v>19500</v>
      </c>
    </row>
    <row r="368" spans="1:14">
      <c r="A368" t="s">
        <v>28</v>
      </c>
      <c r="B368" t="s">
        <v>762</v>
      </c>
      <c r="C368">
        <v>6400</v>
      </c>
      <c r="D368">
        <v>57</v>
      </c>
      <c r="E368" s="1">
        <v>25206</v>
      </c>
      <c r="F368" t="s">
        <v>25</v>
      </c>
      <c r="G368" t="s">
        <v>26</v>
      </c>
      <c r="H368">
        <v>3400</v>
      </c>
      <c r="I368">
        <v>23500</v>
      </c>
      <c r="J368" t="s">
        <v>17</v>
      </c>
      <c r="K368">
        <v>20</v>
      </c>
      <c r="M368" t="s">
        <v>17</v>
      </c>
      <c r="N368">
        <v>50500</v>
      </c>
    </row>
    <row r="369" spans="1:14">
      <c r="A369" t="s">
        <v>28</v>
      </c>
      <c r="B369" t="s">
        <v>763</v>
      </c>
      <c r="C369" t="s">
        <v>764</v>
      </c>
      <c r="D369">
        <v>42</v>
      </c>
      <c r="E369" s="1">
        <v>30810</v>
      </c>
      <c r="F369" t="s">
        <v>44</v>
      </c>
      <c r="G369" t="s">
        <v>89</v>
      </c>
      <c r="H369" t="s">
        <v>765</v>
      </c>
      <c r="I369" t="s">
        <v>766</v>
      </c>
      <c r="J369" t="s">
        <v>17</v>
      </c>
      <c r="K369">
        <v>19</v>
      </c>
      <c r="M369" t="s">
        <v>17</v>
      </c>
      <c r="N369">
        <v>63500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39C4-C408-4D21-AC62-588B8B54CF99}">
  <dimension ref="A1:J371"/>
  <sheetViews>
    <sheetView workbookViewId="0">
      <pane ySplit="2" topLeftCell="A18" activePane="bottomLeft" state="frozen"/>
      <selection pane="bottomLeft" activeCell="H9" sqref="H9"/>
    </sheetView>
  </sheetViews>
  <sheetFormatPr defaultRowHeight="15"/>
  <cols>
    <col min="1" max="1" width="20.140625" bestFit="1" customWidth="1"/>
    <col min="2" max="2" width="39.28515625" style="32" bestFit="1" customWidth="1"/>
    <col min="3" max="3" width="13.85546875" style="11" bestFit="1" customWidth="1"/>
    <col min="4" max="4" width="48.85546875" bestFit="1" customWidth="1"/>
    <col min="5" max="5" width="35.28515625" bestFit="1" customWidth="1"/>
    <col min="6" max="6" width="10.85546875" style="10" bestFit="1" customWidth="1"/>
  </cols>
  <sheetData>
    <row r="1" spans="1:10" ht="40.5" customHeight="1">
      <c r="A1" s="56" t="s">
        <v>767</v>
      </c>
      <c r="B1" s="57"/>
      <c r="C1" s="57"/>
      <c r="D1" s="57"/>
      <c r="E1" s="57"/>
      <c r="F1" s="58"/>
    </row>
    <row r="2" spans="1:10" ht="15.75">
      <c r="A2" s="24" t="s">
        <v>768</v>
      </c>
      <c r="B2" s="29" t="s">
        <v>769</v>
      </c>
      <c r="C2" s="26" t="s">
        <v>770</v>
      </c>
      <c r="D2" s="25" t="s">
        <v>771</v>
      </c>
      <c r="E2" s="25" t="s">
        <v>772</v>
      </c>
      <c r="F2" s="27" t="s">
        <v>773</v>
      </c>
    </row>
    <row r="3" spans="1:10">
      <c r="A3" s="16" t="s">
        <v>774</v>
      </c>
      <c r="B3" s="30" t="s">
        <v>76</v>
      </c>
      <c r="C3" s="15">
        <v>12</v>
      </c>
      <c r="D3" s="14" t="s">
        <v>775</v>
      </c>
      <c r="E3" s="14" t="s">
        <v>776</v>
      </c>
      <c r="F3" s="17" t="s">
        <v>777</v>
      </c>
    </row>
    <row r="4" spans="1:10">
      <c r="A4" s="16" t="s">
        <v>774</v>
      </c>
      <c r="B4" s="30" t="s">
        <v>230</v>
      </c>
      <c r="C4" s="15">
        <v>4</v>
      </c>
      <c r="D4" s="14" t="s">
        <v>775</v>
      </c>
      <c r="E4" s="14" t="s">
        <v>776</v>
      </c>
      <c r="F4" s="17" t="s">
        <v>777</v>
      </c>
    </row>
    <row r="5" spans="1:10">
      <c r="A5" s="16" t="s">
        <v>774</v>
      </c>
      <c r="B5" s="30" t="s">
        <v>221</v>
      </c>
      <c r="C5" s="15">
        <v>1</v>
      </c>
      <c r="D5" s="14" t="s">
        <v>775</v>
      </c>
      <c r="E5" s="14" t="s">
        <v>778</v>
      </c>
      <c r="F5" s="17" t="s">
        <v>777</v>
      </c>
    </row>
    <row r="6" spans="1:10">
      <c r="A6" s="16" t="s">
        <v>774</v>
      </c>
      <c r="B6" s="30" t="s">
        <v>57</v>
      </c>
      <c r="C6" s="15">
        <v>3</v>
      </c>
      <c r="D6" s="14" t="s">
        <v>775</v>
      </c>
      <c r="E6" s="14" t="s">
        <v>778</v>
      </c>
      <c r="F6" s="17" t="s">
        <v>777</v>
      </c>
    </row>
    <row r="7" spans="1:10" ht="14.25" customHeight="1">
      <c r="A7" s="16" t="s">
        <v>774</v>
      </c>
      <c r="B7" s="30" t="s">
        <v>14</v>
      </c>
      <c r="C7" s="15">
        <v>245</v>
      </c>
      <c r="D7" s="14" t="s">
        <v>779</v>
      </c>
      <c r="E7" s="14" t="s">
        <v>780</v>
      </c>
      <c r="F7" s="17" t="s">
        <v>22</v>
      </c>
      <c r="J7" s="28"/>
    </row>
    <row r="8" spans="1:10">
      <c r="A8" s="16" t="s">
        <v>774</v>
      </c>
      <c r="B8" s="30" t="s">
        <v>28</v>
      </c>
      <c r="C8" s="15">
        <v>89</v>
      </c>
      <c r="D8" s="14" t="s">
        <v>779</v>
      </c>
      <c r="E8" s="14" t="s">
        <v>780</v>
      </c>
      <c r="F8" s="17" t="s">
        <v>22</v>
      </c>
    </row>
    <row r="9" spans="1:10">
      <c r="A9" s="16" t="s">
        <v>774</v>
      </c>
      <c r="B9" s="30" t="s">
        <v>195</v>
      </c>
      <c r="C9" s="15">
        <v>8</v>
      </c>
      <c r="D9" s="14" t="s">
        <v>781</v>
      </c>
      <c r="E9" s="14" t="s">
        <v>782</v>
      </c>
      <c r="F9" s="17" t="s">
        <v>783</v>
      </c>
    </row>
    <row r="10" spans="1:10">
      <c r="A10" s="16" t="s">
        <v>774</v>
      </c>
      <c r="B10" s="30" t="s">
        <v>620</v>
      </c>
      <c r="C10" s="15">
        <v>1</v>
      </c>
      <c r="D10" s="14" t="s">
        <v>784</v>
      </c>
      <c r="E10" s="14" t="s">
        <v>782</v>
      </c>
      <c r="F10" s="17" t="s">
        <v>783</v>
      </c>
    </row>
    <row r="11" spans="1:10">
      <c r="A11" s="16" t="s">
        <v>774</v>
      </c>
      <c r="B11" s="30" t="s">
        <v>785</v>
      </c>
      <c r="C11" s="15">
        <v>4</v>
      </c>
      <c r="D11" s="14" t="s">
        <v>786</v>
      </c>
      <c r="E11" s="14" t="s">
        <v>782</v>
      </c>
      <c r="F11" s="17" t="s">
        <v>783</v>
      </c>
    </row>
    <row r="12" spans="1:10">
      <c r="A12" s="18" t="s">
        <v>787</v>
      </c>
      <c r="B12" s="30" t="s">
        <v>788</v>
      </c>
      <c r="C12" s="15">
        <v>17</v>
      </c>
      <c r="D12" s="14" t="s">
        <v>775</v>
      </c>
      <c r="E12" s="14" t="s">
        <v>789</v>
      </c>
      <c r="F12" s="17" t="s">
        <v>777</v>
      </c>
    </row>
    <row r="13" spans="1:10">
      <c r="A13" s="16" t="s">
        <v>787</v>
      </c>
      <c r="B13" s="30" t="s">
        <v>790</v>
      </c>
      <c r="C13" s="15">
        <v>21</v>
      </c>
      <c r="D13" s="14" t="s">
        <v>775</v>
      </c>
      <c r="E13" s="14" t="s">
        <v>789</v>
      </c>
      <c r="F13" s="17" t="s">
        <v>777</v>
      </c>
    </row>
    <row r="14" spans="1:10">
      <c r="A14" s="54" t="s">
        <v>791</v>
      </c>
      <c r="B14" s="30" t="s">
        <v>792</v>
      </c>
      <c r="C14" s="15">
        <v>19</v>
      </c>
      <c r="D14" s="14" t="s">
        <v>786</v>
      </c>
      <c r="E14" s="14" t="s">
        <v>782</v>
      </c>
      <c r="F14" s="55" t="s">
        <v>793</v>
      </c>
    </row>
    <row r="15" spans="1:10">
      <c r="A15" s="54" t="s">
        <v>791</v>
      </c>
      <c r="B15" s="30" t="s">
        <v>794</v>
      </c>
      <c r="C15" s="15">
        <v>2</v>
      </c>
      <c r="D15" s="14" t="s">
        <v>795</v>
      </c>
      <c r="E15" s="14" t="s">
        <v>796</v>
      </c>
      <c r="F15" s="55" t="s">
        <v>783</v>
      </c>
    </row>
    <row r="16" spans="1:10">
      <c r="A16" s="16" t="s">
        <v>797</v>
      </c>
      <c r="B16" s="30" t="s">
        <v>798</v>
      </c>
      <c r="C16" s="15">
        <v>101</v>
      </c>
      <c r="D16" s="14" t="s">
        <v>799</v>
      </c>
      <c r="E16" s="14" t="s">
        <v>782</v>
      </c>
      <c r="F16" s="17" t="s">
        <v>783</v>
      </c>
    </row>
    <row r="17" spans="1:6">
      <c r="A17" s="16" t="s">
        <v>797</v>
      </c>
      <c r="B17" s="30" t="s">
        <v>800</v>
      </c>
      <c r="C17" s="15">
        <v>32</v>
      </c>
      <c r="D17" s="23" t="s">
        <v>801</v>
      </c>
      <c r="E17" s="14" t="s">
        <v>782</v>
      </c>
      <c r="F17" s="17" t="s">
        <v>783</v>
      </c>
    </row>
    <row r="18" spans="1:6">
      <c r="A18" s="16" t="s">
        <v>802</v>
      </c>
      <c r="B18" s="30" t="s">
        <v>785</v>
      </c>
      <c r="C18" s="15">
        <v>13</v>
      </c>
      <c r="D18" s="14" t="s">
        <v>786</v>
      </c>
      <c r="E18" s="14" t="s">
        <v>782</v>
      </c>
      <c r="F18" s="17" t="s">
        <v>793</v>
      </c>
    </row>
    <row r="19" spans="1:6">
      <c r="A19" s="16" t="s">
        <v>802</v>
      </c>
      <c r="B19" s="30" t="s">
        <v>803</v>
      </c>
      <c r="C19" s="15">
        <v>0</v>
      </c>
      <c r="D19" s="14" t="s">
        <v>804</v>
      </c>
      <c r="E19" s="14" t="s">
        <v>780</v>
      </c>
      <c r="F19" s="17" t="s">
        <v>22</v>
      </c>
    </row>
    <row r="20" spans="1:6">
      <c r="A20" s="16" t="s">
        <v>802</v>
      </c>
      <c r="B20" s="30" t="s">
        <v>805</v>
      </c>
      <c r="C20" s="15">
        <v>0</v>
      </c>
      <c r="D20" s="14" t="s">
        <v>804</v>
      </c>
      <c r="E20" s="14" t="s">
        <v>780</v>
      </c>
      <c r="F20" s="17" t="s">
        <v>22</v>
      </c>
    </row>
    <row r="21" spans="1:6">
      <c r="A21" s="16" t="s">
        <v>802</v>
      </c>
      <c r="B21" s="30" t="s">
        <v>806</v>
      </c>
      <c r="C21" s="15">
        <v>0</v>
      </c>
      <c r="D21" s="14" t="s">
        <v>804</v>
      </c>
      <c r="E21" s="14" t="s">
        <v>780</v>
      </c>
      <c r="F21" s="17" t="s">
        <v>22</v>
      </c>
    </row>
    <row r="22" spans="1:6">
      <c r="A22" s="16" t="s">
        <v>807</v>
      </c>
      <c r="B22" s="30" t="s">
        <v>785</v>
      </c>
      <c r="C22" s="15">
        <v>9</v>
      </c>
      <c r="D22" s="14" t="s">
        <v>786</v>
      </c>
      <c r="E22" s="14" t="s">
        <v>782</v>
      </c>
      <c r="F22" s="17" t="s">
        <v>783</v>
      </c>
    </row>
    <row r="23" spans="1:6">
      <c r="A23" s="16" t="s">
        <v>807</v>
      </c>
      <c r="B23" s="30" t="s">
        <v>808</v>
      </c>
      <c r="C23" s="15">
        <v>4</v>
      </c>
      <c r="D23" s="14" t="s">
        <v>809</v>
      </c>
      <c r="E23" s="14" t="s">
        <v>810</v>
      </c>
      <c r="F23" s="17" t="s">
        <v>783</v>
      </c>
    </row>
    <row r="24" spans="1:6">
      <c r="A24" s="16" t="s">
        <v>807</v>
      </c>
      <c r="B24" s="30" t="s">
        <v>811</v>
      </c>
      <c r="C24" s="15">
        <v>0</v>
      </c>
      <c r="D24" s="14" t="s">
        <v>804</v>
      </c>
      <c r="E24" s="14" t="s">
        <v>780</v>
      </c>
      <c r="F24" s="17" t="s">
        <v>22</v>
      </c>
    </row>
    <row r="25" spans="1:6">
      <c r="A25" s="16" t="s">
        <v>807</v>
      </c>
      <c r="B25" s="30" t="s">
        <v>812</v>
      </c>
      <c r="C25" s="15">
        <v>0</v>
      </c>
      <c r="D25" s="14" t="s">
        <v>804</v>
      </c>
      <c r="E25" s="14" t="s">
        <v>780</v>
      </c>
      <c r="F25" s="17" t="s">
        <v>22</v>
      </c>
    </row>
    <row r="26" spans="1:6">
      <c r="A26" s="16" t="s">
        <v>807</v>
      </c>
      <c r="B26" s="30" t="s">
        <v>813</v>
      </c>
      <c r="C26" s="15">
        <v>0</v>
      </c>
      <c r="D26" s="14" t="s">
        <v>814</v>
      </c>
      <c r="E26" s="14" t="s">
        <v>780</v>
      </c>
      <c r="F26" s="17" t="s">
        <v>22</v>
      </c>
    </row>
    <row r="27" spans="1:6">
      <c r="A27" s="16" t="s">
        <v>815</v>
      </c>
      <c r="B27" s="30" t="s">
        <v>785</v>
      </c>
      <c r="C27" s="15">
        <v>12</v>
      </c>
      <c r="D27" s="14" t="s">
        <v>786</v>
      </c>
      <c r="E27" s="14" t="s">
        <v>782</v>
      </c>
      <c r="F27" s="17" t="s">
        <v>783</v>
      </c>
    </row>
    <row r="28" spans="1:6">
      <c r="A28" s="16" t="s">
        <v>815</v>
      </c>
      <c r="B28" s="30" t="s">
        <v>22</v>
      </c>
      <c r="C28" s="15">
        <v>8</v>
      </c>
      <c r="D28" s="14" t="s">
        <v>816</v>
      </c>
      <c r="E28" s="14" t="s">
        <v>782</v>
      </c>
      <c r="F28" s="17" t="s">
        <v>783</v>
      </c>
    </row>
    <row r="29" spans="1:6">
      <c r="A29" s="16" t="s">
        <v>815</v>
      </c>
      <c r="B29" s="30" t="s">
        <v>817</v>
      </c>
      <c r="C29" s="15">
        <v>26</v>
      </c>
      <c r="D29" s="14" t="s">
        <v>818</v>
      </c>
      <c r="E29" s="14" t="s">
        <v>819</v>
      </c>
      <c r="F29" s="17" t="s">
        <v>783</v>
      </c>
    </row>
    <row r="30" spans="1:6">
      <c r="A30" s="16" t="s">
        <v>815</v>
      </c>
      <c r="B30" s="30">
        <v>0</v>
      </c>
      <c r="C30" s="15">
        <v>42</v>
      </c>
      <c r="D30" s="14" t="s">
        <v>820</v>
      </c>
      <c r="E30" s="14" t="s">
        <v>821</v>
      </c>
      <c r="F30" s="17" t="s">
        <v>793</v>
      </c>
    </row>
    <row r="31" spans="1:6">
      <c r="A31" s="16" t="s">
        <v>815</v>
      </c>
      <c r="B31" s="30" t="s">
        <v>811</v>
      </c>
      <c r="C31" s="15">
        <v>0</v>
      </c>
      <c r="D31" s="14" t="s">
        <v>804</v>
      </c>
      <c r="E31" s="14" t="s">
        <v>780</v>
      </c>
      <c r="F31" s="17" t="s">
        <v>22</v>
      </c>
    </row>
    <row r="32" spans="1:6">
      <c r="A32" s="16" t="s">
        <v>815</v>
      </c>
      <c r="B32" s="30" t="s">
        <v>822</v>
      </c>
      <c r="C32" s="15">
        <v>0</v>
      </c>
      <c r="D32" s="14" t="s">
        <v>814</v>
      </c>
      <c r="E32" s="14" t="s">
        <v>780</v>
      </c>
      <c r="F32" s="17" t="s">
        <v>22</v>
      </c>
    </row>
    <row r="33" spans="1:6">
      <c r="A33" s="16" t="s">
        <v>823</v>
      </c>
      <c r="B33" s="30" t="s">
        <v>72</v>
      </c>
      <c r="C33" s="15">
        <v>7</v>
      </c>
      <c r="D33" s="14" t="s">
        <v>775</v>
      </c>
      <c r="E33" s="14" t="s">
        <v>824</v>
      </c>
      <c r="F33" s="17" t="s">
        <v>783</v>
      </c>
    </row>
    <row r="34" spans="1:6">
      <c r="A34" s="16" t="s">
        <v>823</v>
      </c>
      <c r="B34" s="30" t="s">
        <v>17</v>
      </c>
      <c r="C34" s="15">
        <v>241</v>
      </c>
      <c r="D34" s="14" t="s">
        <v>779</v>
      </c>
      <c r="E34" s="14" t="s">
        <v>780</v>
      </c>
      <c r="F34" s="17" t="s">
        <v>22</v>
      </c>
    </row>
    <row r="35" spans="1:6">
      <c r="A35" s="16" t="s">
        <v>823</v>
      </c>
      <c r="B35" s="30" t="s">
        <v>125</v>
      </c>
      <c r="C35" s="15">
        <v>15</v>
      </c>
      <c r="D35" s="14" t="s">
        <v>825</v>
      </c>
      <c r="E35" s="14" t="s">
        <v>824</v>
      </c>
      <c r="F35" s="17" t="s">
        <v>783</v>
      </c>
    </row>
    <row r="36" spans="1:6">
      <c r="A36" s="16" t="s">
        <v>823</v>
      </c>
      <c r="B36" s="30" t="s">
        <v>27</v>
      </c>
      <c r="C36" s="15">
        <v>13</v>
      </c>
      <c r="D36" s="14" t="s">
        <v>775</v>
      </c>
      <c r="E36" s="14" t="s">
        <v>824</v>
      </c>
      <c r="F36" s="17" t="s">
        <v>783</v>
      </c>
    </row>
    <row r="37" spans="1:6">
      <c r="A37" s="16" t="s">
        <v>823</v>
      </c>
      <c r="B37" s="30" t="s">
        <v>330</v>
      </c>
      <c r="C37" s="15">
        <v>6</v>
      </c>
      <c r="D37" s="14" t="s">
        <v>775</v>
      </c>
      <c r="E37" s="14" t="s">
        <v>826</v>
      </c>
      <c r="F37" s="17" t="s">
        <v>783</v>
      </c>
    </row>
    <row r="38" spans="1:6">
      <c r="A38" s="16" t="s">
        <v>823</v>
      </c>
      <c r="B38" s="30" t="s">
        <v>65</v>
      </c>
      <c r="C38" s="15">
        <v>66</v>
      </c>
      <c r="D38" s="14" t="s">
        <v>779</v>
      </c>
      <c r="E38" s="14" t="s">
        <v>780</v>
      </c>
      <c r="F38" s="17" t="s">
        <v>22</v>
      </c>
    </row>
    <row r="39" spans="1:6">
      <c r="A39" s="16" t="s">
        <v>823</v>
      </c>
      <c r="B39" s="30" t="s">
        <v>668</v>
      </c>
      <c r="C39" s="15">
        <v>1</v>
      </c>
      <c r="D39" s="14" t="s">
        <v>775</v>
      </c>
      <c r="E39" s="14" t="s">
        <v>826</v>
      </c>
      <c r="F39" s="17" t="s">
        <v>783</v>
      </c>
    </row>
    <row r="40" spans="1:6">
      <c r="A40" s="16" t="s">
        <v>823</v>
      </c>
      <c r="B40" s="30">
        <v>0</v>
      </c>
      <c r="C40" s="15">
        <v>7</v>
      </c>
      <c r="D40" s="14" t="s">
        <v>827</v>
      </c>
      <c r="E40" s="14" t="s">
        <v>782</v>
      </c>
      <c r="F40" s="17" t="s">
        <v>783</v>
      </c>
    </row>
    <row r="41" spans="1:6">
      <c r="A41" s="16" t="s">
        <v>823</v>
      </c>
      <c r="B41" s="30">
        <v>1</v>
      </c>
      <c r="C41" s="15">
        <v>3</v>
      </c>
      <c r="D41" s="14" t="s">
        <v>827</v>
      </c>
      <c r="E41" s="14" t="s">
        <v>782</v>
      </c>
      <c r="F41" s="17" t="s">
        <v>783</v>
      </c>
    </row>
    <row r="42" spans="1:6">
      <c r="A42" s="16" t="s">
        <v>823</v>
      </c>
      <c r="B42" s="30" t="s">
        <v>785</v>
      </c>
      <c r="C42" s="15">
        <v>10</v>
      </c>
      <c r="D42" s="14" t="s">
        <v>786</v>
      </c>
      <c r="E42" s="14" t="s">
        <v>782</v>
      </c>
      <c r="F42" s="17" t="s">
        <v>783</v>
      </c>
    </row>
    <row r="43" spans="1:6">
      <c r="A43" s="16" t="s">
        <v>828</v>
      </c>
      <c r="B43" s="30" t="s">
        <v>829</v>
      </c>
      <c r="C43" s="15">
        <v>33</v>
      </c>
      <c r="D43" s="14" t="s">
        <v>818</v>
      </c>
      <c r="E43" s="14" t="s">
        <v>819</v>
      </c>
      <c r="F43" s="17" t="s">
        <v>793</v>
      </c>
    </row>
    <row r="44" spans="1:6">
      <c r="A44" s="16" t="s">
        <v>828</v>
      </c>
      <c r="B44" s="30">
        <v>0</v>
      </c>
      <c r="C44" s="15">
        <v>7</v>
      </c>
      <c r="D44" s="14" t="s">
        <v>830</v>
      </c>
      <c r="E44" s="14" t="s">
        <v>780</v>
      </c>
      <c r="F44" s="17" t="s">
        <v>22</v>
      </c>
    </row>
    <row r="45" spans="1:6">
      <c r="A45" s="16" t="s">
        <v>828</v>
      </c>
      <c r="B45" s="30" t="s">
        <v>785</v>
      </c>
      <c r="C45" s="15">
        <v>4</v>
      </c>
      <c r="D45" s="14" t="s">
        <v>786</v>
      </c>
      <c r="E45" s="14" t="s">
        <v>782</v>
      </c>
      <c r="F45" s="17" t="s">
        <v>793</v>
      </c>
    </row>
    <row r="46" spans="1:6">
      <c r="A46" s="16" t="s">
        <v>828</v>
      </c>
      <c r="B46" s="30" t="s">
        <v>811</v>
      </c>
      <c r="C46" s="15">
        <v>0</v>
      </c>
      <c r="D46" s="14" t="s">
        <v>804</v>
      </c>
      <c r="E46" s="14" t="s">
        <v>780</v>
      </c>
      <c r="F46" s="17" t="s">
        <v>22</v>
      </c>
    </row>
    <row r="47" spans="1:6">
      <c r="A47" s="16" t="s">
        <v>828</v>
      </c>
      <c r="B47" s="30" t="s">
        <v>822</v>
      </c>
      <c r="C47" s="15">
        <v>0</v>
      </c>
      <c r="D47" s="14" t="s">
        <v>814</v>
      </c>
      <c r="E47" s="14" t="s">
        <v>780</v>
      </c>
      <c r="F47" s="17" t="s">
        <v>22</v>
      </c>
    </row>
    <row r="48" spans="1:6">
      <c r="A48" s="16" t="s">
        <v>831</v>
      </c>
      <c r="B48" s="30" t="s">
        <v>832</v>
      </c>
      <c r="C48" s="15">
        <v>0</v>
      </c>
      <c r="D48" s="14" t="s">
        <v>804</v>
      </c>
      <c r="E48" s="14" t="s">
        <v>780</v>
      </c>
      <c r="F48" s="17" t="s">
        <v>22</v>
      </c>
    </row>
    <row r="49" spans="1:6">
      <c r="A49" s="16" t="s">
        <v>831</v>
      </c>
      <c r="B49" s="30" t="s">
        <v>811</v>
      </c>
      <c r="C49" s="15">
        <v>0</v>
      </c>
      <c r="D49" s="14" t="s">
        <v>804</v>
      </c>
      <c r="E49" s="14" t="s">
        <v>780</v>
      </c>
      <c r="F49" s="17" t="s">
        <v>22</v>
      </c>
    </row>
    <row r="50" spans="1:6">
      <c r="A50" s="16" t="s">
        <v>831</v>
      </c>
      <c r="B50" s="30" t="s">
        <v>812</v>
      </c>
      <c r="C50" s="15">
        <v>0</v>
      </c>
      <c r="D50" s="14" t="s">
        <v>804</v>
      </c>
      <c r="E50" s="14" t="s">
        <v>780</v>
      </c>
      <c r="F50" s="17" t="s">
        <v>22</v>
      </c>
    </row>
    <row r="51" spans="1:6">
      <c r="A51" s="16" t="s">
        <v>831</v>
      </c>
      <c r="B51" s="30" t="s">
        <v>833</v>
      </c>
      <c r="C51" s="15">
        <v>0</v>
      </c>
      <c r="D51" s="14" t="s">
        <v>804</v>
      </c>
      <c r="E51" s="14" t="s">
        <v>780</v>
      </c>
      <c r="F51" s="17" t="s">
        <v>22</v>
      </c>
    </row>
    <row r="52" spans="1:6">
      <c r="A52" s="19" t="s">
        <v>831</v>
      </c>
      <c r="B52" s="31" t="s">
        <v>834</v>
      </c>
      <c r="C52" s="21">
        <v>0</v>
      </c>
      <c r="D52" s="20" t="s">
        <v>804</v>
      </c>
      <c r="E52" s="20" t="s">
        <v>780</v>
      </c>
      <c r="F52" s="22" t="s">
        <v>22</v>
      </c>
    </row>
    <row r="53" spans="1:6">
      <c r="C53" s="12"/>
      <c r="F53" s="13"/>
    </row>
    <row r="54" spans="1:6">
      <c r="C54" s="12"/>
      <c r="F54" s="7"/>
    </row>
    <row r="55" spans="1:6">
      <c r="C55" s="12"/>
      <c r="F55" s="7"/>
    </row>
    <row r="56" spans="1:6">
      <c r="C56" s="12"/>
      <c r="F56" s="7"/>
    </row>
    <row r="57" spans="1:6">
      <c r="C57" s="12"/>
      <c r="F57" s="7"/>
    </row>
    <row r="58" spans="1:6">
      <c r="C58" s="12"/>
      <c r="F58" s="7"/>
    </row>
    <row r="59" spans="1:6">
      <c r="C59" s="12"/>
      <c r="F59" s="7"/>
    </row>
    <row r="60" spans="1:6">
      <c r="C60" s="12"/>
      <c r="F60" s="7"/>
    </row>
    <row r="61" spans="1:6">
      <c r="C61" s="12"/>
      <c r="F61" s="7"/>
    </row>
    <row r="62" spans="1:6">
      <c r="C62" s="12"/>
      <c r="F62" s="7"/>
    </row>
    <row r="63" spans="1:6">
      <c r="C63" s="12"/>
      <c r="F63" s="7"/>
    </row>
    <row r="64" spans="1:6">
      <c r="C64" s="12"/>
      <c r="F64" s="7"/>
    </row>
    <row r="65" spans="3:6">
      <c r="C65" s="12"/>
      <c r="F65" s="7"/>
    </row>
    <row r="66" spans="3:6">
      <c r="C66" s="12"/>
      <c r="F66" s="7"/>
    </row>
    <row r="67" spans="3:6">
      <c r="C67" s="12"/>
      <c r="F67" s="7"/>
    </row>
    <row r="68" spans="3:6">
      <c r="C68" s="12"/>
      <c r="F68" s="7"/>
    </row>
    <row r="69" spans="3:6">
      <c r="C69" s="12"/>
      <c r="F69" s="7"/>
    </row>
    <row r="70" spans="3:6">
      <c r="C70" s="12"/>
      <c r="F70" s="7"/>
    </row>
    <row r="71" spans="3:6">
      <c r="C71" s="12"/>
      <c r="F71" s="7"/>
    </row>
    <row r="72" spans="3:6">
      <c r="C72" s="12"/>
      <c r="F72" s="7"/>
    </row>
    <row r="73" spans="3:6">
      <c r="C73" s="12"/>
      <c r="F73" s="7"/>
    </row>
    <row r="74" spans="3:6">
      <c r="C74" s="12"/>
      <c r="F74" s="7"/>
    </row>
    <row r="75" spans="3:6">
      <c r="C75" s="12"/>
      <c r="F75" s="7"/>
    </row>
    <row r="76" spans="3:6">
      <c r="C76" s="12"/>
      <c r="F76" s="7"/>
    </row>
    <row r="77" spans="3:6">
      <c r="C77" s="12"/>
      <c r="F77" s="7"/>
    </row>
    <row r="78" spans="3:6">
      <c r="C78" s="12"/>
      <c r="F78" s="7"/>
    </row>
    <row r="79" spans="3:6">
      <c r="C79" s="12"/>
      <c r="F79" s="7"/>
    </row>
    <row r="80" spans="3:6">
      <c r="C80" s="12"/>
      <c r="F80" s="7"/>
    </row>
    <row r="81" spans="3:6">
      <c r="C81" s="12"/>
      <c r="F81" s="7"/>
    </row>
    <row r="82" spans="3:6">
      <c r="C82" s="12"/>
      <c r="F82" s="7"/>
    </row>
    <row r="83" spans="3:6">
      <c r="C83" s="12"/>
      <c r="F83" s="7"/>
    </row>
    <row r="84" spans="3:6">
      <c r="C84" s="12"/>
      <c r="F84" s="7"/>
    </row>
    <row r="85" spans="3:6">
      <c r="C85" s="12"/>
      <c r="F85" s="7"/>
    </row>
    <row r="86" spans="3:6">
      <c r="C86" s="12"/>
      <c r="F86" s="7"/>
    </row>
    <row r="87" spans="3:6">
      <c r="C87" s="12"/>
      <c r="F87" s="7"/>
    </row>
    <row r="88" spans="3:6">
      <c r="C88" s="12"/>
      <c r="F88" s="7"/>
    </row>
    <row r="89" spans="3:6">
      <c r="C89" s="12"/>
      <c r="F89" s="7"/>
    </row>
    <row r="90" spans="3:6">
      <c r="C90" s="12"/>
      <c r="F90" s="7"/>
    </row>
    <row r="91" spans="3:6">
      <c r="C91" s="12"/>
      <c r="F91" s="7"/>
    </row>
    <row r="92" spans="3:6">
      <c r="C92" s="12"/>
      <c r="F92" s="7"/>
    </row>
    <row r="93" spans="3:6">
      <c r="C93" s="12"/>
      <c r="F93" s="7"/>
    </row>
    <row r="94" spans="3:6">
      <c r="C94" s="12"/>
      <c r="F94" s="7"/>
    </row>
    <row r="95" spans="3:6">
      <c r="C95" s="12"/>
      <c r="F95" s="7"/>
    </row>
    <row r="96" spans="3:6">
      <c r="C96" s="12"/>
      <c r="F96" s="7"/>
    </row>
    <row r="97" spans="3:6">
      <c r="C97" s="12"/>
      <c r="F97" s="7"/>
    </row>
    <row r="98" spans="3:6">
      <c r="C98" s="12"/>
      <c r="F98" s="7"/>
    </row>
    <row r="99" spans="3:6">
      <c r="C99" s="12"/>
      <c r="F99" s="7"/>
    </row>
    <row r="100" spans="3:6">
      <c r="C100" s="12"/>
      <c r="F100" s="7"/>
    </row>
    <row r="101" spans="3:6">
      <c r="C101" s="12"/>
      <c r="F101" s="7"/>
    </row>
    <row r="102" spans="3:6">
      <c r="C102" s="12"/>
      <c r="F102" s="7"/>
    </row>
    <row r="103" spans="3:6">
      <c r="C103" s="12"/>
      <c r="F103" s="7"/>
    </row>
    <row r="104" spans="3:6">
      <c r="C104" s="12"/>
      <c r="F104" s="7"/>
    </row>
    <row r="105" spans="3:6">
      <c r="C105" s="12"/>
      <c r="F105" s="7"/>
    </row>
    <row r="106" spans="3:6">
      <c r="C106" s="12"/>
      <c r="F106" s="7"/>
    </row>
    <row r="107" spans="3:6">
      <c r="C107" s="12"/>
      <c r="F107" s="7"/>
    </row>
    <row r="108" spans="3:6">
      <c r="C108" s="12"/>
      <c r="F108" s="7"/>
    </row>
    <row r="109" spans="3:6">
      <c r="C109" s="12"/>
      <c r="F109" s="7"/>
    </row>
    <row r="110" spans="3:6">
      <c r="C110" s="12"/>
      <c r="F110" s="7"/>
    </row>
    <row r="111" spans="3:6">
      <c r="C111" s="12"/>
      <c r="F111" s="7"/>
    </row>
    <row r="112" spans="3:6">
      <c r="C112" s="12"/>
      <c r="F112" s="7"/>
    </row>
    <row r="113" spans="3:6">
      <c r="C113" s="12"/>
      <c r="F113" s="7"/>
    </row>
    <row r="114" spans="3:6">
      <c r="C114" s="12"/>
      <c r="F114" s="7"/>
    </row>
    <row r="115" spans="3:6">
      <c r="C115" s="12"/>
      <c r="F115" s="7"/>
    </row>
    <row r="116" spans="3:6">
      <c r="C116" s="12"/>
      <c r="F116" s="7"/>
    </row>
    <row r="117" spans="3:6">
      <c r="C117" s="12"/>
      <c r="F117" s="7"/>
    </row>
    <row r="118" spans="3:6">
      <c r="C118" s="12"/>
      <c r="F118" s="7"/>
    </row>
    <row r="119" spans="3:6">
      <c r="C119" s="12"/>
      <c r="F119" s="7"/>
    </row>
    <row r="120" spans="3:6">
      <c r="C120" s="12"/>
      <c r="F120" s="7"/>
    </row>
    <row r="121" spans="3:6">
      <c r="C121" s="12"/>
      <c r="F121" s="7"/>
    </row>
    <row r="122" spans="3:6">
      <c r="C122" s="12"/>
      <c r="F122" s="7"/>
    </row>
    <row r="123" spans="3:6">
      <c r="C123" s="12"/>
      <c r="F123" s="7"/>
    </row>
    <row r="124" spans="3:6">
      <c r="C124" s="12"/>
      <c r="F124" s="7"/>
    </row>
    <row r="125" spans="3:6">
      <c r="C125" s="12"/>
      <c r="F125" s="7"/>
    </row>
    <row r="126" spans="3:6">
      <c r="C126" s="12"/>
      <c r="F126" s="7"/>
    </row>
    <row r="127" spans="3:6">
      <c r="C127" s="12"/>
      <c r="F127" s="7"/>
    </row>
    <row r="128" spans="3:6">
      <c r="C128" s="12"/>
      <c r="F128" s="7"/>
    </row>
    <row r="129" spans="3:6">
      <c r="C129" s="12"/>
      <c r="F129" s="7"/>
    </row>
    <row r="130" spans="3:6">
      <c r="C130" s="12"/>
      <c r="F130" s="7"/>
    </row>
    <row r="131" spans="3:6">
      <c r="C131" s="12"/>
      <c r="F131" s="7"/>
    </row>
    <row r="132" spans="3:6">
      <c r="C132" s="12"/>
      <c r="F132" s="7"/>
    </row>
    <row r="133" spans="3:6">
      <c r="C133" s="12"/>
      <c r="F133" s="7"/>
    </row>
    <row r="134" spans="3:6">
      <c r="C134" s="12"/>
      <c r="F134" s="7"/>
    </row>
    <row r="135" spans="3:6">
      <c r="C135" s="12"/>
      <c r="F135" s="7"/>
    </row>
    <row r="136" spans="3:6">
      <c r="C136" s="12"/>
      <c r="F136" s="7"/>
    </row>
    <row r="137" spans="3:6">
      <c r="C137" s="12"/>
      <c r="F137" s="7"/>
    </row>
    <row r="138" spans="3:6">
      <c r="C138" s="12"/>
      <c r="F138" s="7"/>
    </row>
    <row r="139" spans="3:6">
      <c r="C139" s="12"/>
      <c r="F139" s="7"/>
    </row>
    <row r="140" spans="3:6">
      <c r="C140" s="12"/>
      <c r="F140" s="7"/>
    </row>
    <row r="141" spans="3:6">
      <c r="C141" s="12"/>
      <c r="F141" s="7"/>
    </row>
    <row r="142" spans="3:6">
      <c r="C142" s="12"/>
      <c r="F142" s="7"/>
    </row>
    <row r="143" spans="3:6">
      <c r="C143" s="12"/>
      <c r="F143" s="7"/>
    </row>
    <row r="144" spans="3:6">
      <c r="C144" s="12"/>
      <c r="F144" s="7"/>
    </row>
    <row r="145" spans="3:6">
      <c r="C145" s="12"/>
      <c r="F145" s="7"/>
    </row>
    <row r="146" spans="3:6">
      <c r="C146" s="12"/>
      <c r="F146" s="7"/>
    </row>
    <row r="147" spans="3:6">
      <c r="C147" s="12"/>
      <c r="F147" s="7"/>
    </row>
    <row r="148" spans="3:6">
      <c r="C148" s="12"/>
      <c r="F148" s="7"/>
    </row>
    <row r="149" spans="3:6">
      <c r="C149" s="12"/>
      <c r="F149" s="7"/>
    </row>
    <row r="150" spans="3:6">
      <c r="C150" s="12"/>
      <c r="F150" s="7"/>
    </row>
    <row r="151" spans="3:6">
      <c r="C151" s="12"/>
      <c r="F151" s="7"/>
    </row>
    <row r="152" spans="3:6">
      <c r="C152" s="12"/>
      <c r="F152" s="7"/>
    </row>
    <row r="153" spans="3:6">
      <c r="C153" s="12"/>
      <c r="F153" s="7"/>
    </row>
    <row r="154" spans="3:6">
      <c r="C154" s="12"/>
      <c r="F154" s="7"/>
    </row>
    <row r="155" spans="3:6">
      <c r="C155" s="12"/>
      <c r="F155" s="7"/>
    </row>
    <row r="156" spans="3:6">
      <c r="C156" s="12"/>
      <c r="F156" s="7"/>
    </row>
    <row r="157" spans="3:6">
      <c r="C157" s="12"/>
      <c r="F157" s="7"/>
    </row>
    <row r="158" spans="3:6">
      <c r="C158" s="12"/>
      <c r="F158" s="7"/>
    </row>
    <row r="159" spans="3:6">
      <c r="C159" s="12"/>
      <c r="F159" s="7"/>
    </row>
    <row r="160" spans="3:6">
      <c r="C160" s="12"/>
      <c r="F160" s="7"/>
    </row>
    <row r="161" spans="3:6">
      <c r="C161" s="12"/>
      <c r="F161" s="7"/>
    </row>
    <row r="162" spans="3:6">
      <c r="C162" s="12"/>
      <c r="F162" s="7"/>
    </row>
    <row r="163" spans="3:6">
      <c r="C163" s="12"/>
      <c r="F163" s="7"/>
    </row>
    <row r="164" spans="3:6">
      <c r="C164" s="12"/>
      <c r="F164" s="7"/>
    </row>
    <row r="165" spans="3:6">
      <c r="C165" s="12"/>
      <c r="F165" s="7"/>
    </row>
    <row r="166" spans="3:6">
      <c r="C166" s="12"/>
      <c r="F166" s="7"/>
    </row>
    <row r="167" spans="3:6">
      <c r="C167" s="12"/>
      <c r="F167" s="7"/>
    </row>
    <row r="168" spans="3:6">
      <c r="C168" s="12"/>
      <c r="F168" s="7"/>
    </row>
    <row r="169" spans="3:6">
      <c r="C169" s="12"/>
      <c r="F169" s="7"/>
    </row>
    <row r="170" spans="3:6">
      <c r="C170" s="12"/>
      <c r="F170" s="7"/>
    </row>
    <row r="171" spans="3:6">
      <c r="C171" s="12"/>
      <c r="F171" s="7"/>
    </row>
    <row r="172" spans="3:6">
      <c r="C172" s="12"/>
      <c r="F172" s="7"/>
    </row>
    <row r="173" spans="3:6">
      <c r="C173" s="12"/>
      <c r="F173" s="7"/>
    </row>
    <row r="174" spans="3:6">
      <c r="C174" s="12"/>
      <c r="F174" s="7"/>
    </row>
    <row r="175" spans="3:6">
      <c r="C175" s="12"/>
      <c r="F175" s="7"/>
    </row>
    <row r="176" spans="3:6">
      <c r="C176" s="12"/>
      <c r="F176" s="7"/>
    </row>
    <row r="177" spans="3:6">
      <c r="C177" s="12"/>
      <c r="F177" s="7"/>
    </row>
    <row r="178" spans="3:6">
      <c r="C178" s="12"/>
      <c r="F178" s="7"/>
    </row>
    <row r="179" spans="3:6">
      <c r="C179" s="12"/>
      <c r="F179" s="7"/>
    </row>
    <row r="180" spans="3:6">
      <c r="C180" s="12"/>
      <c r="F180" s="7"/>
    </row>
    <row r="181" spans="3:6">
      <c r="C181" s="12"/>
      <c r="F181" s="7"/>
    </row>
    <row r="182" spans="3:6">
      <c r="C182" s="12"/>
      <c r="F182" s="7"/>
    </row>
    <row r="183" spans="3:6">
      <c r="C183" s="12"/>
      <c r="F183" s="7"/>
    </row>
    <row r="184" spans="3:6">
      <c r="C184" s="12"/>
      <c r="F184" s="7"/>
    </row>
    <row r="185" spans="3:6">
      <c r="C185" s="12"/>
      <c r="F185" s="7"/>
    </row>
    <row r="186" spans="3:6">
      <c r="C186" s="12"/>
      <c r="F186" s="7"/>
    </row>
    <row r="187" spans="3:6">
      <c r="C187" s="12"/>
      <c r="F187" s="7"/>
    </row>
    <row r="188" spans="3:6">
      <c r="C188" s="12"/>
      <c r="F188" s="7"/>
    </row>
    <row r="189" spans="3:6">
      <c r="C189" s="12"/>
      <c r="F189" s="7"/>
    </row>
    <row r="190" spans="3:6">
      <c r="C190" s="12"/>
      <c r="F190" s="7"/>
    </row>
    <row r="191" spans="3:6">
      <c r="C191" s="12"/>
      <c r="F191" s="7"/>
    </row>
    <row r="192" spans="3:6">
      <c r="C192" s="12"/>
      <c r="F192" s="7"/>
    </row>
    <row r="193" spans="3:6">
      <c r="C193" s="12"/>
      <c r="F193" s="7"/>
    </row>
    <row r="194" spans="3:6">
      <c r="C194" s="12"/>
      <c r="F194" s="7"/>
    </row>
    <row r="195" spans="3:6">
      <c r="C195" s="12"/>
      <c r="F195" s="7"/>
    </row>
    <row r="196" spans="3:6">
      <c r="C196" s="12"/>
      <c r="F196" s="7"/>
    </row>
    <row r="197" spans="3:6">
      <c r="C197" s="12"/>
      <c r="F197" s="7"/>
    </row>
    <row r="198" spans="3:6">
      <c r="C198" s="12"/>
      <c r="F198" s="7"/>
    </row>
    <row r="199" spans="3:6">
      <c r="C199" s="12"/>
      <c r="F199" s="7"/>
    </row>
    <row r="200" spans="3:6">
      <c r="C200" s="12"/>
      <c r="F200" s="7"/>
    </row>
    <row r="201" spans="3:6">
      <c r="C201" s="12"/>
      <c r="F201" s="7"/>
    </row>
    <row r="202" spans="3:6">
      <c r="C202" s="12"/>
      <c r="F202" s="7"/>
    </row>
    <row r="203" spans="3:6">
      <c r="C203" s="12"/>
      <c r="F203" s="7"/>
    </row>
    <row r="204" spans="3:6">
      <c r="C204" s="12"/>
      <c r="F204" s="7"/>
    </row>
    <row r="205" spans="3:6">
      <c r="C205" s="12"/>
      <c r="F205" s="7"/>
    </row>
    <row r="206" spans="3:6">
      <c r="C206" s="12"/>
      <c r="F206" s="7"/>
    </row>
    <row r="207" spans="3:6">
      <c r="C207" s="12"/>
      <c r="F207" s="7"/>
    </row>
    <row r="208" spans="3:6">
      <c r="C208" s="12"/>
      <c r="F208" s="7"/>
    </row>
    <row r="209" spans="3:6">
      <c r="C209" s="12"/>
      <c r="F209" s="7"/>
    </row>
    <row r="210" spans="3:6">
      <c r="C210" s="12"/>
      <c r="F210" s="7"/>
    </row>
    <row r="211" spans="3:6">
      <c r="C211" s="12"/>
      <c r="F211" s="7"/>
    </row>
    <row r="212" spans="3:6">
      <c r="C212" s="12"/>
      <c r="F212" s="7"/>
    </row>
    <row r="213" spans="3:6">
      <c r="C213" s="12"/>
      <c r="F213" s="7"/>
    </row>
    <row r="214" spans="3:6">
      <c r="C214" s="12"/>
      <c r="F214" s="7"/>
    </row>
    <row r="215" spans="3:6">
      <c r="C215" s="12"/>
      <c r="F215" s="7"/>
    </row>
    <row r="216" spans="3:6">
      <c r="C216" s="12"/>
      <c r="F216" s="7"/>
    </row>
    <row r="217" spans="3:6">
      <c r="C217" s="12"/>
      <c r="F217" s="7"/>
    </row>
    <row r="218" spans="3:6">
      <c r="C218" s="12"/>
      <c r="F218" s="7"/>
    </row>
    <row r="219" spans="3:6">
      <c r="C219" s="12"/>
      <c r="F219" s="7"/>
    </row>
    <row r="220" spans="3:6">
      <c r="C220" s="12"/>
      <c r="F220" s="7"/>
    </row>
    <row r="221" spans="3:6">
      <c r="C221" s="12"/>
      <c r="F221" s="7"/>
    </row>
    <row r="222" spans="3:6">
      <c r="C222" s="12"/>
      <c r="F222" s="7"/>
    </row>
    <row r="223" spans="3:6">
      <c r="C223" s="12"/>
      <c r="F223" s="7"/>
    </row>
    <row r="224" spans="3:6">
      <c r="C224" s="12"/>
      <c r="F224" s="7"/>
    </row>
    <row r="225" spans="3:6">
      <c r="C225" s="12"/>
      <c r="F225" s="7"/>
    </row>
    <row r="226" spans="3:6">
      <c r="C226" s="12"/>
      <c r="F226" s="7"/>
    </row>
    <row r="227" spans="3:6">
      <c r="C227" s="12"/>
      <c r="F227" s="7"/>
    </row>
    <row r="228" spans="3:6">
      <c r="C228" s="12"/>
      <c r="F228" s="7"/>
    </row>
    <row r="229" spans="3:6">
      <c r="C229" s="12"/>
      <c r="F229" s="7"/>
    </row>
    <row r="230" spans="3:6">
      <c r="C230" s="12"/>
      <c r="F230" s="7"/>
    </row>
    <row r="231" spans="3:6">
      <c r="C231" s="12"/>
      <c r="F231" s="7"/>
    </row>
    <row r="232" spans="3:6">
      <c r="C232" s="12"/>
      <c r="F232" s="7"/>
    </row>
    <row r="233" spans="3:6">
      <c r="C233" s="12"/>
      <c r="F233" s="7"/>
    </row>
    <row r="234" spans="3:6">
      <c r="C234" s="12"/>
      <c r="F234" s="7"/>
    </row>
    <row r="235" spans="3:6">
      <c r="C235" s="12"/>
      <c r="F235" s="7"/>
    </row>
    <row r="236" spans="3:6">
      <c r="C236" s="12"/>
      <c r="F236" s="7"/>
    </row>
    <row r="237" spans="3:6">
      <c r="C237" s="12"/>
      <c r="F237" s="7"/>
    </row>
    <row r="238" spans="3:6">
      <c r="C238" s="12"/>
      <c r="F238" s="7"/>
    </row>
    <row r="239" spans="3:6">
      <c r="C239" s="12"/>
      <c r="F239" s="7"/>
    </row>
    <row r="240" spans="3:6">
      <c r="C240" s="12"/>
      <c r="F240" s="7"/>
    </row>
    <row r="241" spans="3:6">
      <c r="C241" s="12"/>
      <c r="F241" s="7"/>
    </row>
    <row r="242" spans="3:6">
      <c r="C242" s="12"/>
      <c r="F242" s="7"/>
    </row>
    <row r="243" spans="3:6">
      <c r="C243" s="12"/>
      <c r="F243" s="7"/>
    </row>
    <row r="244" spans="3:6">
      <c r="C244" s="12"/>
      <c r="F244" s="7"/>
    </row>
    <row r="245" spans="3:6">
      <c r="C245" s="12"/>
      <c r="F245" s="7"/>
    </row>
    <row r="246" spans="3:6">
      <c r="C246" s="12"/>
      <c r="F246" s="7"/>
    </row>
    <row r="247" spans="3:6">
      <c r="C247" s="12"/>
      <c r="F247" s="7"/>
    </row>
    <row r="248" spans="3:6">
      <c r="C248" s="12"/>
      <c r="F248" s="7"/>
    </row>
    <row r="249" spans="3:6">
      <c r="C249" s="12"/>
      <c r="F249" s="7"/>
    </row>
    <row r="250" spans="3:6">
      <c r="C250" s="12"/>
      <c r="F250" s="7"/>
    </row>
    <row r="251" spans="3:6">
      <c r="C251" s="12"/>
      <c r="F251" s="7"/>
    </row>
    <row r="252" spans="3:6">
      <c r="C252" s="12"/>
      <c r="F252" s="7"/>
    </row>
    <row r="253" spans="3:6">
      <c r="C253" s="12"/>
      <c r="F253" s="7"/>
    </row>
    <row r="254" spans="3:6">
      <c r="C254" s="12"/>
      <c r="F254" s="7"/>
    </row>
    <row r="255" spans="3:6">
      <c r="C255" s="12"/>
      <c r="F255" s="7"/>
    </row>
    <row r="256" spans="3:6">
      <c r="C256" s="12"/>
      <c r="F256" s="7"/>
    </row>
    <row r="257" spans="3:6">
      <c r="C257" s="12"/>
      <c r="F257" s="7"/>
    </row>
    <row r="258" spans="3:6">
      <c r="C258" s="12"/>
      <c r="F258" s="7"/>
    </row>
    <row r="259" spans="3:6">
      <c r="C259" s="12"/>
      <c r="F259" s="7"/>
    </row>
    <row r="260" spans="3:6">
      <c r="C260" s="12"/>
      <c r="F260" s="7"/>
    </row>
    <row r="261" spans="3:6">
      <c r="C261" s="12"/>
      <c r="F261" s="7"/>
    </row>
    <row r="262" spans="3:6">
      <c r="C262" s="12"/>
      <c r="F262" s="7"/>
    </row>
    <row r="263" spans="3:6">
      <c r="C263" s="12"/>
      <c r="F263" s="7"/>
    </row>
    <row r="264" spans="3:6">
      <c r="C264" s="12"/>
      <c r="F264" s="7"/>
    </row>
    <row r="265" spans="3:6">
      <c r="C265" s="12"/>
      <c r="F265" s="7"/>
    </row>
    <row r="266" spans="3:6">
      <c r="C266" s="12"/>
      <c r="F266" s="7"/>
    </row>
    <row r="267" spans="3:6">
      <c r="C267" s="12"/>
      <c r="F267" s="7"/>
    </row>
    <row r="268" spans="3:6">
      <c r="C268" s="12"/>
      <c r="F268" s="7"/>
    </row>
    <row r="269" spans="3:6">
      <c r="C269" s="12"/>
      <c r="F269" s="7"/>
    </row>
    <row r="270" spans="3:6">
      <c r="C270" s="12"/>
      <c r="F270" s="7"/>
    </row>
    <row r="271" spans="3:6">
      <c r="C271" s="12"/>
      <c r="F271" s="7"/>
    </row>
    <row r="272" spans="3:6">
      <c r="C272" s="12"/>
      <c r="F272" s="7"/>
    </row>
    <row r="273" spans="3:6">
      <c r="C273" s="12"/>
      <c r="F273" s="7"/>
    </row>
    <row r="274" spans="3:6">
      <c r="C274" s="12"/>
      <c r="F274" s="7"/>
    </row>
    <row r="275" spans="3:6">
      <c r="C275" s="12"/>
      <c r="F275" s="7"/>
    </row>
    <row r="276" spans="3:6">
      <c r="C276" s="12"/>
      <c r="F276" s="7"/>
    </row>
    <row r="277" spans="3:6">
      <c r="C277" s="12"/>
      <c r="F277" s="7"/>
    </row>
    <row r="278" spans="3:6">
      <c r="C278" s="12"/>
      <c r="F278" s="7"/>
    </row>
    <row r="279" spans="3:6">
      <c r="C279" s="12"/>
      <c r="F279" s="7"/>
    </row>
    <row r="280" spans="3:6">
      <c r="C280" s="12"/>
      <c r="F280" s="7"/>
    </row>
    <row r="281" spans="3:6">
      <c r="C281" s="12"/>
      <c r="F281" s="7"/>
    </row>
    <row r="282" spans="3:6">
      <c r="C282" s="12"/>
      <c r="F282" s="7"/>
    </row>
    <row r="283" spans="3:6">
      <c r="C283" s="12"/>
      <c r="F283" s="7"/>
    </row>
    <row r="284" spans="3:6">
      <c r="C284" s="12"/>
      <c r="F284" s="7"/>
    </row>
    <row r="285" spans="3:6">
      <c r="C285" s="12"/>
      <c r="F285" s="7"/>
    </row>
    <row r="286" spans="3:6">
      <c r="C286" s="12"/>
      <c r="F286" s="7"/>
    </row>
    <row r="287" spans="3:6">
      <c r="C287" s="12"/>
      <c r="F287" s="7"/>
    </row>
    <row r="288" spans="3:6">
      <c r="C288" s="12"/>
      <c r="F288" s="7"/>
    </row>
    <row r="289" spans="3:6">
      <c r="C289" s="12"/>
      <c r="F289" s="7"/>
    </row>
    <row r="290" spans="3:6">
      <c r="C290" s="12"/>
      <c r="F290" s="7"/>
    </row>
    <row r="291" spans="3:6">
      <c r="C291" s="12"/>
      <c r="F291" s="7"/>
    </row>
    <row r="292" spans="3:6">
      <c r="C292" s="12"/>
      <c r="F292" s="7"/>
    </row>
    <row r="293" spans="3:6">
      <c r="C293" s="12"/>
      <c r="F293" s="7"/>
    </row>
    <row r="294" spans="3:6">
      <c r="C294" s="12"/>
      <c r="F294" s="7"/>
    </row>
    <row r="295" spans="3:6">
      <c r="C295" s="12"/>
      <c r="F295" s="7"/>
    </row>
    <row r="296" spans="3:6">
      <c r="C296" s="12"/>
      <c r="F296" s="7"/>
    </row>
    <row r="297" spans="3:6">
      <c r="C297" s="12"/>
      <c r="F297" s="7"/>
    </row>
    <row r="298" spans="3:6">
      <c r="C298" s="12"/>
      <c r="F298" s="7"/>
    </row>
    <row r="299" spans="3:6">
      <c r="C299" s="12"/>
      <c r="F299" s="7"/>
    </row>
    <row r="300" spans="3:6">
      <c r="C300" s="12"/>
      <c r="F300" s="7"/>
    </row>
    <row r="301" spans="3:6">
      <c r="C301" s="12"/>
      <c r="F301" s="7"/>
    </row>
    <row r="302" spans="3:6">
      <c r="C302" s="12"/>
      <c r="F302" s="7"/>
    </row>
    <row r="303" spans="3:6">
      <c r="C303" s="12"/>
      <c r="F303" s="7"/>
    </row>
    <row r="304" spans="3:6">
      <c r="C304" s="12"/>
      <c r="F304" s="7"/>
    </row>
    <row r="305" spans="3:6">
      <c r="C305" s="12"/>
      <c r="F305" s="7"/>
    </row>
    <row r="306" spans="3:6">
      <c r="C306" s="12"/>
      <c r="F306" s="7"/>
    </row>
    <row r="307" spans="3:6">
      <c r="C307" s="12"/>
      <c r="F307" s="7"/>
    </row>
    <row r="308" spans="3:6">
      <c r="C308" s="12"/>
      <c r="F308" s="7"/>
    </row>
    <row r="309" spans="3:6">
      <c r="C309" s="12"/>
      <c r="F309" s="7"/>
    </row>
    <row r="310" spans="3:6">
      <c r="C310" s="12"/>
      <c r="F310" s="7"/>
    </row>
    <row r="311" spans="3:6">
      <c r="C311" s="12"/>
      <c r="F311" s="7"/>
    </row>
    <row r="312" spans="3:6">
      <c r="C312" s="12"/>
      <c r="F312" s="7"/>
    </row>
    <row r="313" spans="3:6">
      <c r="C313" s="12"/>
      <c r="F313" s="7"/>
    </row>
    <row r="314" spans="3:6">
      <c r="C314" s="12"/>
      <c r="F314" s="7"/>
    </row>
    <row r="315" spans="3:6">
      <c r="C315" s="12"/>
      <c r="F315" s="7"/>
    </row>
    <row r="316" spans="3:6">
      <c r="C316" s="12"/>
      <c r="F316" s="7"/>
    </row>
    <row r="317" spans="3:6">
      <c r="C317" s="12"/>
      <c r="F317" s="7"/>
    </row>
    <row r="318" spans="3:6">
      <c r="C318" s="12"/>
      <c r="F318" s="7"/>
    </row>
    <row r="319" spans="3:6">
      <c r="C319" s="12"/>
      <c r="F319" s="7"/>
    </row>
    <row r="320" spans="3:6">
      <c r="C320" s="12"/>
      <c r="F320" s="7"/>
    </row>
    <row r="321" spans="3:6">
      <c r="C321" s="12"/>
      <c r="F321" s="7"/>
    </row>
    <row r="322" spans="3:6">
      <c r="C322" s="12"/>
      <c r="F322" s="7"/>
    </row>
    <row r="323" spans="3:6">
      <c r="C323" s="12"/>
      <c r="F323" s="7"/>
    </row>
    <row r="324" spans="3:6">
      <c r="C324" s="12"/>
      <c r="F324" s="7"/>
    </row>
    <row r="325" spans="3:6">
      <c r="C325" s="12"/>
      <c r="F325" s="7"/>
    </row>
    <row r="326" spans="3:6">
      <c r="C326" s="12"/>
      <c r="F326" s="7"/>
    </row>
    <row r="327" spans="3:6">
      <c r="C327" s="12"/>
      <c r="F327" s="7"/>
    </row>
    <row r="328" spans="3:6">
      <c r="C328" s="12"/>
      <c r="F328" s="7"/>
    </row>
    <row r="329" spans="3:6">
      <c r="C329" s="12"/>
      <c r="F329" s="7"/>
    </row>
    <row r="330" spans="3:6">
      <c r="C330" s="12"/>
      <c r="F330" s="7"/>
    </row>
    <row r="331" spans="3:6">
      <c r="C331" s="12"/>
      <c r="F331" s="7"/>
    </row>
    <row r="332" spans="3:6">
      <c r="C332" s="12"/>
      <c r="F332" s="7"/>
    </row>
    <row r="333" spans="3:6">
      <c r="C333" s="12"/>
      <c r="F333" s="7"/>
    </row>
    <row r="334" spans="3:6">
      <c r="C334" s="12"/>
      <c r="F334" s="7"/>
    </row>
    <row r="335" spans="3:6">
      <c r="C335" s="12"/>
      <c r="F335" s="7"/>
    </row>
    <row r="336" spans="3:6">
      <c r="C336" s="12"/>
      <c r="F336" s="7"/>
    </row>
    <row r="337" spans="3:6">
      <c r="C337" s="12"/>
      <c r="F337" s="7"/>
    </row>
    <row r="338" spans="3:6">
      <c r="C338" s="12"/>
      <c r="F338" s="7"/>
    </row>
    <row r="339" spans="3:6">
      <c r="C339" s="12"/>
      <c r="F339" s="7"/>
    </row>
    <row r="340" spans="3:6">
      <c r="C340" s="12"/>
      <c r="F340" s="7"/>
    </row>
    <row r="341" spans="3:6">
      <c r="C341" s="12"/>
      <c r="F341" s="7"/>
    </row>
    <row r="342" spans="3:6">
      <c r="C342" s="12"/>
      <c r="F342" s="7"/>
    </row>
    <row r="343" spans="3:6">
      <c r="C343" s="12"/>
      <c r="F343" s="7"/>
    </row>
    <row r="344" spans="3:6">
      <c r="C344" s="12"/>
      <c r="F344" s="7"/>
    </row>
    <row r="345" spans="3:6">
      <c r="C345" s="12"/>
      <c r="F345" s="7"/>
    </row>
    <row r="346" spans="3:6">
      <c r="C346" s="12"/>
      <c r="F346" s="7"/>
    </row>
    <row r="347" spans="3:6">
      <c r="C347" s="12"/>
      <c r="F347" s="7"/>
    </row>
    <row r="348" spans="3:6">
      <c r="C348" s="12"/>
      <c r="F348" s="7"/>
    </row>
    <row r="349" spans="3:6">
      <c r="C349" s="12"/>
      <c r="F349" s="7"/>
    </row>
    <row r="350" spans="3:6">
      <c r="C350" s="12"/>
      <c r="F350" s="7"/>
    </row>
    <row r="351" spans="3:6">
      <c r="C351" s="12"/>
      <c r="F351" s="7"/>
    </row>
    <row r="352" spans="3:6">
      <c r="C352" s="12"/>
      <c r="F352" s="7"/>
    </row>
    <row r="353" spans="3:6">
      <c r="C353" s="12"/>
      <c r="F353" s="7"/>
    </row>
    <row r="354" spans="3:6">
      <c r="C354" s="12"/>
      <c r="F354" s="7"/>
    </row>
    <row r="355" spans="3:6">
      <c r="C355" s="12"/>
      <c r="F355" s="7"/>
    </row>
    <row r="356" spans="3:6">
      <c r="C356" s="12"/>
      <c r="F356" s="7"/>
    </row>
    <row r="357" spans="3:6">
      <c r="C357" s="12"/>
      <c r="F357" s="7"/>
    </row>
    <row r="358" spans="3:6">
      <c r="C358" s="12"/>
      <c r="F358" s="7"/>
    </row>
    <row r="359" spans="3:6">
      <c r="C359" s="12"/>
      <c r="F359" s="7"/>
    </row>
    <row r="360" spans="3:6">
      <c r="C360" s="12"/>
      <c r="F360" s="7"/>
    </row>
    <row r="361" spans="3:6">
      <c r="C361" s="12"/>
      <c r="F361" s="7"/>
    </row>
    <row r="362" spans="3:6">
      <c r="C362" s="12"/>
      <c r="F362" s="7"/>
    </row>
    <row r="363" spans="3:6">
      <c r="C363" s="12"/>
      <c r="F363" s="7"/>
    </row>
    <row r="364" spans="3:6">
      <c r="C364" s="12"/>
      <c r="F364" s="7"/>
    </row>
    <row r="365" spans="3:6">
      <c r="C365" s="12"/>
      <c r="F365" s="7"/>
    </row>
    <row r="366" spans="3:6">
      <c r="C366" s="12"/>
      <c r="F366" s="7"/>
    </row>
    <row r="367" spans="3:6">
      <c r="C367" s="12"/>
      <c r="F367" s="7"/>
    </row>
    <row r="368" spans="3:6">
      <c r="C368" s="12"/>
      <c r="F368" s="7"/>
    </row>
    <row r="369" spans="3:6">
      <c r="C369" s="12"/>
      <c r="F369" s="7"/>
    </row>
    <row r="370" spans="3:6">
      <c r="C370" s="12"/>
      <c r="F370" s="7"/>
    </row>
    <row r="371" spans="3:6">
      <c r="C371" s="12"/>
      <c r="F371" s="7"/>
    </row>
  </sheetData>
  <mergeCells count="1">
    <mergeCell ref="A1:F1"/>
  </mergeCells>
  <conditionalFormatting sqref="F1:F1048576">
    <cfRule type="containsText" dxfId="38" priority="3" operator="containsText" text="Alto">
      <formula>NOT(ISERROR(SEARCH("Alto",F1)))</formula>
    </cfRule>
  </conditionalFormatting>
  <conditionalFormatting sqref="F1:F1048576">
    <cfRule type="containsText" dxfId="37" priority="2" operator="containsText" text="Baixo">
      <formula>NOT(ISERROR(SEARCH("Baixo",F1)))</formula>
    </cfRule>
  </conditionalFormatting>
  <conditionalFormatting sqref="F1:F1048576">
    <cfRule type="containsText" dxfId="36" priority="1" operator="containsText" text="Médio">
      <formula>NOT(ISERROR(SEARCH("Médio",F1)))</formula>
    </cfRule>
  </conditionalFormatting>
  <dataValidations count="1">
    <dataValidation type="list" allowBlank="1" showInputMessage="1" showErrorMessage="1" sqref="E3" xr:uid="{70C5A9F1-0FB3-4695-844E-7213C2E2DBE7}">
      <formula1>"Baixo,Alto,N/A"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5191-18E8-4D1C-900B-F3762396F1D6}">
  <dimension ref="A1:U370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ColWidth="9.140625" defaultRowHeight="15"/>
  <cols>
    <col min="1" max="1" width="16.140625" customWidth="1"/>
    <col min="2" max="2" width="21.42578125" style="4" bestFit="1" customWidth="1"/>
    <col min="3" max="3" width="22.140625" style="4" bestFit="1" customWidth="1"/>
    <col min="4" max="4" width="15" style="8" bestFit="1" customWidth="1"/>
    <col min="5" max="5" width="16.140625" style="9" bestFit="1" customWidth="1"/>
    <col min="6" max="6" width="16.5703125" style="9" bestFit="1" customWidth="1"/>
    <col min="7" max="7" width="20.85546875" style="9" bestFit="1" customWidth="1"/>
    <col min="8" max="8" width="23.5703125" style="36" customWidth="1"/>
    <col min="9" max="9" width="26.7109375" style="36" customWidth="1"/>
    <col min="10" max="10" width="19.42578125" style="5" bestFit="1" customWidth="1"/>
    <col min="11" max="11" width="31.85546875" style="8" bestFit="1" customWidth="1"/>
    <col min="12" max="12" width="23.42578125" customWidth="1"/>
    <col min="13" max="13" width="22.42578125" style="6" bestFit="1" customWidth="1"/>
    <col min="14" max="14" width="30.7109375" bestFit="1" customWidth="1"/>
    <col min="15" max="15" width="17.7109375" style="7" bestFit="1" customWidth="1"/>
    <col min="16" max="16" width="20.42578125" style="35" bestFit="1" customWidth="1"/>
    <col min="17" max="17" width="32.85546875" style="7" bestFit="1" customWidth="1"/>
    <col min="18" max="18" width="35.5703125" style="7" bestFit="1" customWidth="1"/>
    <col min="19" max="19" width="13.5703125" bestFit="1" customWidth="1"/>
    <col min="20" max="20" width="15.42578125" bestFit="1" customWidth="1"/>
    <col min="21" max="21" width="30.7109375" style="6" bestFit="1" customWidth="1"/>
  </cols>
  <sheetData>
    <row r="1" spans="1:21">
      <c r="A1" s="47" t="s">
        <v>835</v>
      </c>
      <c r="B1" s="37" t="s">
        <v>836</v>
      </c>
      <c r="C1" s="37" t="s">
        <v>837</v>
      </c>
      <c r="D1" s="38" t="s">
        <v>797</v>
      </c>
      <c r="E1" s="39" t="s">
        <v>838</v>
      </c>
      <c r="F1" s="39" t="s">
        <v>839</v>
      </c>
      <c r="G1" s="39" t="s">
        <v>840</v>
      </c>
      <c r="H1" s="40" t="s">
        <v>841</v>
      </c>
      <c r="I1" s="40" t="s">
        <v>842</v>
      </c>
      <c r="J1" s="41" t="s">
        <v>802</v>
      </c>
      <c r="K1" s="42" t="s">
        <v>843</v>
      </c>
      <c r="L1" s="42" t="s">
        <v>844</v>
      </c>
      <c r="M1" s="43" t="s">
        <v>845</v>
      </c>
      <c r="N1" s="43" t="s">
        <v>846</v>
      </c>
      <c r="O1" s="44" t="s">
        <v>847</v>
      </c>
      <c r="P1" s="45" t="s">
        <v>848</v>
      </c>
      <c r="Q1" s="46" t="s">
        <v>849</v>
      </c>
      <c r="R1" s="46" t="s">
        <v>850</v>
      </c>
      <c r="S1" s="42" t="s">
        <v>851</v>
      </c>
      <c r="T1" s="42" t="s">
        <v>852</v>
      </c>
      <c r="U1" s="43" t="s">
        <v>853</v>
      </c>
    </row>
    <row r="2" spans="1:21">
      <c r="A2" s="47" t="s">
        <v>854</v>
      </c>
      <c r="B2" s="37" t="str">
        <f>IF(Base_Original!A2="","vazio",IF(Base_Original!A2="ATIVO","Ativo",IF(Base_Original!A2="INATIVO","Inativo",Base_Original!A2)))</f>
        <v>Ativo</v>
      </c>
      <c r="C2" s="37" t="str">
        <f>PROPER(Base_Original!B2)</f>
        <v>Aegon Baelish</v>
      </c>
      <c r="D2" s="38">
        <v>24000</v>
      </c>
      <c r="E2" s="39" t="str">
        <f>IF($D2="","Vazio",IF(LEN(SUBSTITUTE(SUBSTITUTE($D2&amp;"",".",""),"-",""))&lt;&gt;11,"Inválido","OK"))</f>
        <v>Inválido</v>
      </c>
      <c r="F2" s="39" t="str">
        <f>IF($D2="","Vazio",IF(COUNTIF($D$2:$D$369,$D2)&gt;1,"Duplicado","Único"))</f>
        <v>Único</v>
      </c>
      <c r="G2" s="40" t="str">
        <f>IF(TRIM(Base_Original!D2)="","",SUBSTITUTE(TRIM(Base_Original!D2),"anos",""))</f>
        <v>47</v>
      </c>
      <c r="H2" s="48">
        <f ca="1">IF(Tabela2[[#This Row],[Data_Nascimento]]="","Vazio",IF(Tabela2[[#This Row],[Idade_Padronizada]]="","Sem idade",DATEDIF(Tabela2[[#This Row],[Data_Nascimento]],TODAY(),"Y")))</f>
        <v>47</v>
      </c>
      <c r="I2" s="49" t="str">
        <f ca="1"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" s="33">
        <v>29031</v>
      </c>
      <c r="K2" s="42" t="s">
        <v>16</v>
      </c>
      <c r="L2" s="42" t="str">
        <f>PROPER(Base_Original!G2)</f>
        <v/>
      </c>
      <c r="M2" s="43">
        <v>28400</v>
      </c>
      <c r="N2" s="43">
        <f>IF(ISNUMBER(Base_Original!I2),Base_Original!I2,IF(RIGHT(Base_Original!I2,7)=" moedas",VALUE(LEFT(Base_Original!I2,LEN(Base_Original!I2)-7)),Base_Original!I2))</f>
        <v>78000</v>
      </c>
      <c r="O2" s="44" t="str">
        <f>IF(AND($N2&gt;50000,$Q2="Sim"),"Negada","Aprovada")</f>
        <v>Aprovada</v>
      </c>
      <c r="P2" s="45">
        <f>IF(AND($T2="Negada",$O2="Negada"),0,IF($B2="Ativo",$U2*8%,"0"))</f>
        <v>7920</v>
      </c>
      <c r="Q2" s="46" t="str">
        <f>IF(OR(Base_Original!J2="Sim",Base_Original!J2="sim",Base_Original!J2="SIM"),"Sim",IF(OR(Base_Original!J2="Não",Base_Original!J2="não",Base_Original!J2="NÃO",Base_Original!J2="Nao"),"Não",IF(Base_Original!J2="","vazio",Base_Original!J2)))</f>
        <v>Não</v>
      </c>
      <c r="R2" s="46">
        <f>IF(ISNUMBER(Base_Original!K2),Base_Original!K2,IF(RIGHT(Base_Original!K2,9)=" batalhas",VALUE(LEFT(Base_Original!K2,LEN(Base_Original!K2)-9)),Base_Original!K2))</f>
        <v>37</v>
      </c>
      <c r="S2" s="42" t="str">
        <f>IF($R2="vazio","vazio",IF($R2&lt;=10,"Baixo",IF($R2&lt;=25,"Médio","Alto")))</f>
        <v>Alto</v>
      </c>
      <c r="T2" s="42" t="str">
        <f>IF(AND($S2="Alto",$Q2="Sim"),"Negada","Aprovada")</f>
        <v>Aprovada</v>
      </c>
      <c r="U2" s="43">
        <v>99000</v>
      </c>
    </row>
    <row r="3" spans="1:21">
      <c r="A3" s="47" t="s">
        <v>855</v>
      </c>
      <c r="B3" s="37" t="str">
        <f>IF(Base_Original!A3="","vazio",IF(Base_Original!A3="ATIVO","Ativo",IF(Base_Original!A3="INATIVO","Inativo",Base_Original!A3)))</f>
        <v>Ativo</v>
      </c>
      <c r="C3" s="37" t="str">
        <f>PROPER(Base_Original!B3)</f>
        <v>Aegon Blackwood</v>
      </c>
      <c r="D3" s="38" t="s">
        <v>19</v>
      </c>
      <c r="E3" s="39" t="str">
        <f>IF($D3="","Vazio",IF(LEN(SUBSTITUTE(SUBSTITUTE($D3&amp;"",".",""),"-",""))&lt;&gt;11,"Inválido","OK"))</f>
        <v>OK</v>
      </c>
      <c r="F3" s="39" t="str">
        <f>IF($D3="","Vazio",IF(COUNTIF($D$2:$D$369,$D3)&gt;1,"Duplicado","Único"))</f>
        <v>Único</v>
      </c>
      <c r="G3" s="40" t="str">
        <f>IF(TRIM(Base_Original!D3)="","",SUBSTITUTE(TRIM(Base_Original!D3),"anos",""))</f>
        <v>69</v>
      </c>
      <c r="H3" s="50">
        <f ca="1">IF(Tabela2[[#This Row],[Data_Nascimento]]="","Vazio",IF(Tabela2[[#This Row],[Idade_Padronizada]]="","Sem idade",DATEDIF(Tabela2[[#This Row],[Data_Nascimento]],TODAY(),"Y")))</f>
        <v>69</v>
      </c>
      <c r="I3" s="51" t="str">
        <f ca="1"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" s="33">
        <v>21054</v>
      </c>
      <c r="K3" s="42" t="s">
        <v>20</v>
      </c>
      <c r="L3" s="42" t="str">
        <f>PROPER(Base_Original!G3)</f>
        <v>Campina</v>
      </c>
      <c r="M3" s="43">
        <v>23800</v>
      </c>
      <c r="N3" s="43" t="str">
        <f>IF(ISNUMBER(Base_Original!I3),Base_Original!I3,IF(RIGHT(Base_Original!I3,7)=" moedas",VALUE(LEFT(Base_Original!I3,LEN(Base_Original!I3)-7)),Base_Original!I3))</f>
        <v>N/A</v>
      </c>
      <c r="O3" s="44" t="str">
        <f>IF(AND($N3&gt;50000,$Q3="Sim"),"Negada","Aprovada")</f>
        <v>Aprovada</v>
      </c>
      <c r="P3" s="45">
        <f>IF(AND($T3="Negada",$O3="Negada"),0,IF($B3="Ativo",$U3*8%,"0"))</f>
        <v>7120</v>
      </c>
      <c r="Q3" s="46" t="str">
        <f>IF(OR(Base_Original!J3="Sim",Base_Original!J3="sim",Base_Original!J3="SIM"),"Sim",IF(OR(Base_Original!J3="Não",Base_Original!J3="não",Base_Original!J3="NÃO",Base_Original!J3="Nao"),"Não",IF(Base_Original!J3="","vazio",Base_Original!J3)))</f>
        <v>vazio</v>
      </c>
      <c r="R3" s="46">
        <f>IF(ISNUMBER(Base_Original!K3),Base_Original!K3,IF(RIGHT(Base_Original!K3,9)=" batalhas",VALUE(LEFT(Base_Original!K3,LEN(Base_Original!K3)-9)),Base_Original!K3))</f>
        <v>26</v>
      </c>
      <c r="S3" s="42" t="str">
        <f>IF($R3="vazio","vazio",IF($R3&lt;=10,"Baixo",IF($R3&lt;=25,"Médio","Alto")))</f>
        <v>Alto</v>
      </c>
      <c r="T3" s="42" t="str">
        <f>IF(AND($S3="Alto",$Q3="Sim"),"Negada","Aprovada")</f>
        <v>Aprovada</v>
      </c>
      <c r="U3" s="43">
        <v>89000</v>
      </c>
    </row>
    <row r="4" spans="1:21">
      <c r="A4" s="47" t="s">
        <v>856</v>
      </c>
      <c r="B4" s="37" t="str">
        <f>IF(Base_Original!A4="","vazio",IF(Base_Original!A4="ATIVO","Ativo",IF(Base_Original!A4="INATIVO","Inativo",Base_Original!A4)))</f>
        <v>Ativo</v>
      </c>
      <c r="C4" s="37" t="str">
        <f>PROPER(Base_Original!B4)</f>
        <v>Aegon Bracken</v>
      </c>
      <c r="D4" s="38" t="s">
        <v>24</v>
      </c>
      <c r="E4" s="39" t="str">
        <f>IF($D4="","Vazio",IF(LEN(SUBSTITUTE(SUBSTITUTE($D4&amp;"",".",""),"-",""))&lt;&gt;11,"Inválido","OK"))</f>
        <v>OK</v>
      </c>
      <c r="F4" s="39" t="str">
        <f>IF($D4="","Vazio",IF(COUNTIF($D$2:$D$369,$D4)&gt;1,"Duplicado","Único"))</f>
        <v>Único</v>
      </c>
      <c r="G4" s="40" t="str">
        <f>IF(TRIM(Base_Original!D4)="","",SUBSTITUTE(TRIM(Base_Original!D4),"anos",""))</f>
        <v>69</v>
      </c>
      <c r="H4" s="50">
        <f>IF($J4="","Vazio",DATEDIF($J4,DATE(2026,9,10),"Y"))</f>
        <v>69</v>
      </c>
      <c r="I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4" s="33">
        <v>20725</v>
      </c>
      <c r="K4" s="42" t="s">
        <v>25</v>
      </c>
      <c r="L4" s="42" t="str">
        <f>PROPER(Base_Original!G4)</f>
        <v>Terras Fluviais</v>
      </c>
      <c r="M4" s="43">
        <v>8100</v>
      </c>
      <c r="N4" s="43">
        <f>IF(ISNUMBER(Base_Original!I4),Base_Original!I4,IF(RIGHT(Base_Original!I4,7)=" moedas",VALUE(LEFT(Base_Original!I4,LEN(Base_Original!I4)-7)),Base_Original!I4))</f>
        <v>27500</v>
      </c>
      <c r="O4" s="44" t="str">
        <f>IF(AND($N4&gt;50000,$Q4="Sim"),"Negada","Aprovada")</f>
        <v>Aprovada</v>
      </c>
      <c r="P4" s="45">
        <f>IF(AND($T4="Negada",$O4="Negada"),0,IF($B4="Ativo",$U4*8%,"0"))</f>
        <v>5800</v>
      </c>
      <c r="Q4" s="46" t="str">
        <f>IF(OR(Base_Original!J4="Sim",Base_Original!J4="sim",Base_Original!J4="SIM"),"Sim",IF(OR(Base_Original!J4="Não",Base_Original!J4="não",Base_Original!J4="NÃO",Base_Original!J4="Nao"),"Não",IF(Base_Original!J4="","vazio",Base_Original!J4)))</f>
        <v>Não</v>
      </c>
      <c r="R4" s="46">
        <f>IF(ISNUMBER(Base_Original!K4),Base_Original!K4,IF(RIGHT(Base_Original!K4,9)=" batalhas",VALUE(LEFT(Base_Original!K4,LEN(Base_Original!K4)-9)),Base_Original!K4))</f>
        <v>42</v>
      </c>
      <c r="S4" s="42" t="str">
        <f>IF($R4="vazio","vazio",IF($R4&lt;=10,"Baixo",IF($R4&lt;=25,"Médio","Alto")))</f>
        <v>Alto</v>
      </c>
      <c r="T4" s="42" t="str">
        <f>IF(AND($S4="Alto",$Q4="Sim"),"Negada","Aprovada")</f>
        <v>Aprovada</v>
      </c>
      <c r="U4" s="43">
        <v>72500</v>
      </c>
    </row>
    <row r="5" spans="1:21">
      <c r="A5" s="47" t="s">
        <v>857</v>
      </c>
      <c r="B5" s="37" t="str">
        <f>IF(Base_Original!A5="","vazio",IF(Base_Original!A5="ATIVO","Ativo",IF(Base_Original!A5="INATIVO","Inativo",Base_Original!A5)))</f>
        <v>Inativo</v>
      </c>
      <c r="C5" s="37" t="str">
        <f>PROPER(Base_Original!B5)</f>
        <v>Aegon Florent</v>
      </c>
      <c r="D5" s="38">
        <v>27100</v>
      </c>
      <c r="E5" s="39" t="str">
        <f>IF($D5="","Vazio",IF(LEN(SUBSTITUTE(SUBSTITUTE($D5&amp;"",".",""),"-",""))&lt;&gt;11,"Inválido","OK"))</f>
        <v>Inválido</v>
      </c>
      <c r="F5" s="39" t="str">
        <f>IF($D5="","Vazio",IF(COUNTIF($D$2:$D$369,$D5)&gt;1,"Duplicado","Único"))</f>
        <v>Único</v>
      </c>
      <c r="G5" s="40" t="str">
        <f>IF(TRIM(Base_Original!D5)="","",SUBSTITUTE(TRIM(Base_Original!D5),"anos",""))</f>
        <v>55</v>
      </c>
      <c r="H5" s="50">
        <f>IF($J5="","Vazio",DATEDIF($J5,DATE(2026,9,10),"Y"))</f>
        <v>55</v>
      </c>
      <c r="I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5" s="33">
        <v>25895</v>
      </c>
      <c r="K5" s="42" t="s">
        <v>30</v>
      </c>
      <c r="L5" s="42" t="str">
        <f>PROPER(Base_Original!G5)</f>
        <v>Essos</v>
      </c>
      <c r="M5" s="43">
        <v>6800</v>
      </c>
      <c r="N5" s="43">
        <f>IF(ISNUMBER(Base_Original!I5),Base_Original!I5,IF(RIGHT(Base_Original!I5,7)=" moedas",VALUE(LEFT(Base_Original!I5,LEN(Base_Original!I5)-7)),Base_Original!I5))</f>
        <v>12000</v>
      </c>
      <c r="O5" s="44" t="str">
        <f>IF(AND($N5&gt;50000,$Q5="Sim"),"Negada","Aprovada")</f>
        <v>Aprovada</v>
      </c>
      <c r="P5" s="45" t="str">
        <f>IF(AND($T5="Negada",$O5="Negada"),0,IF($B5="Ativo",$U5*8%,"0"))</f>
        <v>0</v>
      </c>
      <c r="Q5" s="46" t="str">
        <f>IF(OR(Base_Original!J5="Sim",Base_Original!J5="sim",Base_Original!J5="SIM"),"Sim",IF(OR(Base_Original!J5="Não",Base_Original!J5="não",Base_Original!J5="NÃO",Base_Original!J5="Nao"),"Não",IF(Base_Original!J5="","vazio",Base_Original!J5)))</f>
        <v>Não</v>
      </c>
      <c r="R5" s="46">
        <f>IF(ISNUMBER(Base_Original!K5),Base_Original!K5,IF(RIGHT(Base_Original!K5,9)=" batalhas",VALUE(LEFT(Base_Original!K5,LEN(Base_Original!K5)-9)),Base_Original!K5))</f>
        <v>6</v>
      </c>
      <c r="S5" s="42" t="str">
        <f>IF($R5="vazio","vazio",IF($R5&lt;=10,"Baixo",IF($R5&lt;=25,"Médio","Alto")))</f>
        <v>Baixo</v>
      </c>
      <c r="T5" s="42" t="str">
        <f>IF(AND($S5="Alto",$Q5="Sim"),"Negada","Aprovada")</f>
        <v>Aprovada</v>
      </c>
      <c r="U5" s="43">
        <v>11000</v>
      </c>
    </row>
    <row r="6" spans="1:21">
      <c r="A6" s="47" t="s">
        <v>858</v>
      </c>
      <c r="B6" s="37" t="str">
        <f>IF(Base_Original!A6="","vazio",IF(Base_Original!A6="ATIVO","Ativo",IF(Base_Original!A6="INATIVO","Inativo",Base_Original!A6)))</f>
        <v>Ativo</v>
      </c>
      <c r="C6" s="37" t="str">
        <f>PROPER(Base_Original!B6)</f>
        <v>Aegon Frey</v>
      </c>
      <c r="D6" s="38" t="s">
        <v>33</v>
      </c>
      <c r="E6" s="39" t="str">
        <f>IF($D6="","Vazio",IF(LEN(SUBSTITUTE(SUBSTITUTE($D6&amp;"",".",""),"-",""))&lt;&gt;11,"Inválido","OK"))</f>
        <v>OK</v>
      </c>
      <c r="F6" s="39" t="str">
        <f>IF($D6="","Vazio",IF(COUNTIF($D$2:$D$369,$D6)&gt;1,"Duplicado","Único"))</f>
        <v>Único</v>
      </c>
      <c r="G6" s="40" t="str">
        <f>IF(TRIM(Base_Original!D6)="","",SUBSTITUTE(TRIM(Base_Original!D6),"anos",""))</f>
        <v>56</v>
      </c>
      <c r="H6" s="50">
        <f>IF($J6="","Vazio",DATEDIF($J6,DATE(2026,9,10),"Y"))</f>
        <v>56</v>
      </c>
      <c r="I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6" s="33">
        <v>25525</v>
      </c>
      <c r="K6" s="42" t="s">
        <v>34</v>
      </c>
      <c r="L6" s="42" t="str">
        <f>PROPER(Base_Original!G6)</f>
        <v>Dorne</v>
      </c>
      <c r="M6" s="43">
        <v>11100</v>
      </c>
      <c r="N6" s="43">
        <f>IF(ISNUMBER(Base_Original!I6),Base_Original!I6,IF(RIGHT(Base_Original!I6,7)=" moedas",VALUE(LEFT(Base_Original!I6,LEN(Base_Original!I6)-7)),Base_Original!I6))</f>
        <v>63000</v>
      </c>
      <c r="O6" s="44" t="str">
        <f>IF(AND($N6&gt;50000,$Q6="Sim"),"Negada","Aprovada")</f>
        <v>Aprovada</v>
      </c>
      <c r="P6" s="45">
        <f>IF(AND($T6="Negada",$O6="Negada"),0,IF($B6="Ativo",$U6*8%,"0"))</f>
        <v>4480</v>
      </c>
      <c r="Q6" s="46" t="str">
        <f>IF(OR(Base_Original!J6="Sim",Base_Original!J6="sim",Base_Original!J6="SIM"),"Sim",IF(OR(Base_Original!J6="Não",Base_Original!J6="não",Base_Original!J6="NÃO",Base_Original!J6="Nao"),"Não",IF(Base_Original!J6="","vazio",Base_Original!J6)))</f>
        <v>Não</v>
      </c>
      <c r="R6" s="46">
        <f>IF(ISNUMBER(Base_Original!K6),Base_Original!K6,IF(RIGHT(Base_Original!K6,9)=" batalhas",VALUE(LEFT(Base_Original!K6,LEN(Base_Original!K6)-9)),Base_Original!K6))</f>
        <v>0</v>
      </c>
      <c r="S6" s="42" t="str">
        <f>IF($R6="vazio","vazio",IF($R6&lt;=10,"Baixo",IF($R6&lt;=25,"Médio","Alto")))</f>
        <v>Baixo</v>
      </c>
      <c r="T6" s="42" t="str">
        <f>IF(AND($S6="Alto",$Q6="Sim"),"Negada","Aprovada")</f>
        <v>Aprovada</v>
      </c>
      <c r="U6" s="43">
        <v>56000</v>
      </c>
    </row>
    <row r="7" spans="1:21">
      <c r="A7" s="47" t="s">
        <v>859</v>
      </c>
      <c r="B7" s="37" t="str">
        <f>IF(Base_Original!A7="","vazio",IF(Base_Original!A7="ATIVO","Ativo",IF(Base_Original!A7="INATIVO","Inativo",Base_Original!A7)))</f>
        <v>Inativo</v>
      </c>
      <c r="C7" s="37" t="str">
        <f>PROPER(Base_Original!B7)</f>
        <v>Aegon Hornwood</v>
      </c>
      <c r="D7" s="38">
        <v>17100</v>
      </c>
      <c r="E7" s="39" t="str">
        <f>IF($D7="","Vazio",IF(LEN(SUBSTITUTE(SUBSTITUTE($D7&amp;"",".",""),"-",""))&lt;&gt;11,"Inválido","OK"))</f>
        <v>Inválido</v>
      </c>
      <c r="F7" s="39" t="str">
        <f>IF($D7="","Vazio",IF(COUNTIF($D$2:$D$369,$D7)&gt;1,"Duplicado","Único"))</f>
        <v>Único</v>
      </c>
      <c r="G7" s="40" t="str">
        <f>IF(TRIM(Base_Original!D7)="","",SUBSTITUTE(TRIM(Base_Original!D7),"anos",""))</f>
        <v>45</v>
      </c>
      <c r="H7" s="50">
        <f>IF($J7="","Vazio",DATEDIF($J7,DATE(2026,9,10),"Y"))</f>
        <v>45</v>
      </c>
      <c r="I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7" s="33">
        <v>29506</v>
      </c>
      <c r="K7" s="42" t="s">
        <v>37</v>
      </c>
      <c r="L7" s="42" t="str">
        <f>PROPER(Base_Original!G7)</f>
        <v>Terras Da Tempestade</v>
      </c>
      <c r="M7" s="43">
        <v>5100</v>
      </c>
      <c r="N7" s="43">
        <f>IF(ISNUMBER(Base_Original!I7),Base_Original!I7,IF(RIGHT(Base_Original!I7,7)=" moedas",VALUE(LEFT(Base_Original!I7,LEN(Base_Original!I7)-7)),Base_Original!I7))</f>
        <v>25000</v>
      </c>
      <c r="O7" s="44" t="str">
        <f>IF(AND($N7&gt;50000,$Q7="Sim"),"Negada","Aprovada")</f>
        <v>Aprovada</v>
      </c>
      <c r="P7" s="45" t="str">
        <f>IF(AND($T7="Negada",$O7="Negada"),0,IF($B7="Ativo",$U7*8%,"0"))</f>
        <v>0</v>
      </c>
      <c r="Q7" s="46" t="str">
        <f>IF(OR(Base_Original!J7="Sim",Base_Original!J7="sim",Base_Original!J7="SIM"),"Sim",IF(OR(Base_Original!J7="Não",Base_Original!J7="não",Base_Original!J7="NÃO",Base_Original!J7="Nao"),"Não",IF(Base_Original!J7="","vazio",Base_Original!J7)))</f>
        <v>Não</v>
      </c>
      <c r="R7" s="46">
        <f>IF(ISNUMBER(Base_Original!K7),Base_Original!K7,IF(RIGHT(Base_Original!K7,9)=" batalhas",VALUE(LEFT(Base_Original!K7,LEN(Base_Original!K7)-9)),Base_Original!K7))</f>
        <v>29</v>
      </c>
      <c r="S7" s="42" t="str">
        <f>IF($R7="vazio","vazio",IF($R7&lt;=10,"Baixo",IF($R7&lt;=25,"Médio","Alto")))</f>
        <v>Alto</v>
      </c>
      <c r="T7" s="42" t="str">
        <f>IF(AND($S7="Alto",$Q7="Sim"),"Negada","Aprovada")</f>
        <v>Aprovada</v>
      </c>
      <c r="U7" s="43">
        <v>88000</v>
      </c>
    </row>
    <row r="8" spans="1:21">
      <c r="A8" s="47" t="s">
        <v>860</v>
      </c>
      <c r="B8" s="37" t="str">
        <f>IF(Base_Original!A8="","vazio",IF(Base_Original!A8="ATIVO","Ativo",IF(Base_Original!A8="INATIVO","Inativo",Base_Original!A8)))</f>
        <v>Ativo</v>
      </c>
      <c r="C8" s="37" t="str">
        <f>PROPER(Base_Original!B8)</f>
        <v>Aegon Marbrand</v>
      </c>
      <c r="D8" s="38">
        <v>35200</v>
      </c>
      <c r="E8" s="39" t="str">
        <f>IF($D8="","Vazio",IF(LEN(SUBSTITUTE(SUBSTITUTE($D8&amp;"",".",""),"-",""))&lt;&gt;11,"Inválido","OK"))</f>
        <v>Inválido</v>
      </c>
      <c r="F8" s="39" t="str">
        <f>IF($D8="","Vazio",IF(COUNTIF($D$2:$D$369,$D8)&gt;1,"Duplicado","Único"))</f>
        <v>Único</v>
      </c>
      <c r="G8" s="40" t="str">
        <f>IF(TRIM(Base_Original!D8)="","",SUBSTITUTE(TRIM(Base_Original!D8),"anos",""))</f>
        <v>65</v>
      </c>
      <c r="H8" s="50">
        <f>IF($J8="","Vazio",DATEDIF($J8,DATE(2026,9,10),"Y"))</f>
        <v>65</v>
      </c>
      <c r="I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8" s="33">
        <v>22337</v>
      </c>
      <c r="K8" s="42" t="s">
        <v>40</v>
      </c>
      <c r="L8" s="42" t="str">
        <f>PROPER(Base_Original!G8)</f>
        <v>Norte</v>
      </c>
      <c r="M8" s="43">
        <v>3800</v>
      </c>
      <c r="N8" s="43">
        <f>IF(ISNUMBER(Base_Original!I8),Base_Original!I8,IF(RIGHT(Base_Original!I8,7)=" moedas",VALUE(LEFT(Base_Original!I8,LEN(Base_Original!I8)-7)),Base_Original!I8))</f>
        <v>49500</v>
      </c>
      <c r="O8" s="44" t="str">
        <f>IF(AND($N8&gt;50000,$Q8="Sim"),"Negada","Aprovada")</f>
        <v>Aprovada</v>
      </c>
      <c r="P8" s="45">
        <f>IF(AND($T8="Negada",$O8="Negada"),0,IF($B8="Ativo",$U8*8%,"0"))</f>
        <v>1240</v>
      </c>
      <c r="Q8" s="46" t="str">
        <f>IF(OR(Base_Original!J8="Sim",Base_Original!J8="sim",Base_Original!J8="SIM"),"Sim",IF(OR(Base_Original!J8="Não",Base_Original!J8="não",Base_Original!J8="NÃO",Base_Original!J8="Nao"),"Não",IF(Base_Original!J8="","vazio",Base_Original!J8)))</f>
        <v>Não</v>
      </c>
      <c r="R8" s="46">
        <f>IF(ISNUMBER(Base_Original!K8),Base_Original!K8,IF(RIGHT(Base_Original!K8,9)=" batalhas",VALUE(LEFT(Base_Original!K8,LEN(Base_Original!K8)-9)),Base_Original!K8))</f>
        <v>16</v>
      </c>
      <c r="S8" s="42" t="str">
        <f>IF($R8="vazio","vazio",IF($R8&lt;=10,"Baixo",IF($R8&lt;=25,"Médio","Alto")))</f>
        <v>Médio</v>
      </c>
      <c r="T8" s="42" t="str">
        <f>IF(AND($S8="Alto",$Q8="Sim"),"Negada","Aprovada")</f>
        <v>Aprovada</v>
      </c>
      <c r="U8" s="43">
        <v>15500</v>
      </c>
    </row>
    <row r="9" spans="1:21">
      <c r="A9" s="47" t="s">
        <v>861</v>
      </c>
      <c r="B9" s="37" t="str">
        <f>IF(Base_Original!A9="","vazio",IF(Base_Original!A9="ATIVO","Ativo",IF(Base_Original!A9="INATIVO","Inativo",Base_Original!A9)))</f>
        <v>Ativo</v>
      </c>
      <c r="C9" s="37" t="str">
        <f>PROPER(Base_Original!B9)</f>
        <v>Aegon Redwyne</v>
      </c>
      <c r="D9" s="38" t="s">
        <v>43</v>
      </c>
      <c r="E9" s="39" t="str">
        <f>IF($D9="","Vazio",IF(LEN(SUBSTITUTE(SUBSTITUTE($D9&amp;"",".",""),"-",""))&lt;&gt;11,"Inválido","OK"))</f>
        <v>OK</v>
      </c>
      <c r="F9" s="39" t="str">
        <f>IF($D9="","Vazio",IF(COUNTIF($D$2:$D$369,$D9)&gt;1,"Duplicado","Único"))</f>
        <v>Único</v>
      </c>
      <c r="G9" s="40" t="str">
        <f>IF(TRIM(Base_Original!D9)="","",SUBSTITUTE(TRIM(Base_Original!D9),"anos",""))</f>
        <v>19</v>
      </c>
      <c r="H9" s="50">
        <f>IF($J9="","Vazio",DATEDIF($J9,DATE(2026,9,10),"Y"))</f>
        <v>19</v>
      </c>
      <c r="I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9" s="33">
        <v>39016</v>
      </c>
      <c r="K9" s="42" t="s">
        <v>44</v>
      </c>
      <c r="L9" s="42" t="str">
        <f>PROPER(Base_Original!G9)</f>
        <v>Ilhas De Ferro</v>
      </c>
      <c r="M9" s="43">
        <v>14900</v>
      </c>
      <c r="N9" s="43">
        <f>IF(ISNUMBER(Base_Original!I9),Base_Original!I9,IF(RIGHT(Base_Original!I9,7)=" moedas",VALUE(LEFT(Base_Original!I9,LEN(Base_Original!I9)-7)),Base_Original!I9))</f>
        <v>17000</v>
      </c>
      <c r="O9" s="44" t="str">
        <f>IF(AND($N9&gt;50000,$Q9="Sim"),"Negada","Aprovada")</f>
        <v>Aprovada</v>
      </c>
      <c r="P9" s="45">
        <f>IF(AND($T9="Negada",$O9="Negada"),0,IF($B9="Ativo",$U9*8%,"0"))</f>
        <v>2360</v>
      </c>
      <c r="Q9" s="46" t="str">
        <f>IF(OR(Base_Original!J9="Sim",Base_Original!J9="sim",Base_Original!J9="SIM"),"Sim",IF(OR(Base_Original!J9="Não",Base_Original!J9="não",Base_Original!J9="NÃO",Base_Original!J9="Nao"),"Não",IF(Base_Original!J9="","vazio",Base_Original!J9)))</f>
        <v>Não</v>
      </c>
      <c r="R9" s="46">
        <f>IF(ISNUMBER(Base_Original!K9),Base_Original!K9,IF(RIGHT(Base_Original!K9,9)=" batalhas",VALUE(LEFT(Base_Original!K9,LEN(Base_Original!K9)-9)),Base_Original!K9))</f>
        <v>20</v>
      </c>
      <c r="S9" s="42" t="str">
        <f>IF($R9="vazio","vazio",IF($R9&lt;=10,"Baixo",IF($R9&lt;=25,"Médio","Alto")))</f>
        <v>Médio</v>
      </c>
      <c r="T9" s="42" t="str">
        <f>IF(AND($S9="Alto",$Q9="Sim"),"Negada","Aprovada")</f>
        <v>Aprovada</v>
      </c>
      <c r="U9" s="43">
        <v>29500</v>
      </c>
    </row>
    <row r="10" spans="1:21">
      <c r="A10" s="47" t="s">
        <v>862</v>
      </c>
      <c r="B10" s="37" t="str">
        <f>IF(Base_Original!A10="","vazio",IF(Base_Original!A10="ATIVO","Ativo",IF(Base_Original!A10="INATIVO","Inativo",Base_Original!A10)))</f>
        <v>Inativo</v>
      </c>
      <c r="C10" s="37" t="str">
        <f>PROPER(Base_Original!B10)</f>
        <v>Aegon Umber</v>
      </c>
      <c r="D10" s="38" t="s">
        <v>47</v>
      </c>
      <c r="E10" s="39" t="str">
        <f>IF($D10="","Vazio",IF(LEN(SUBSTITUTE(SUBSTITUTE($D10&amp;"",".",""),"-",""))&lt;&gt;11,"Inválido","OK"))</f>
        <v>OK</v>
      </c>
      <c r="F10" s="39" t="str">
        <f>IF($D10="","Vazio",IF(COUNTIF($D$2:$D$369,$D10)&gt;1,"Duplicado","Único"))</f>
        <v>Único</v>
      </c>
      <c r="G10" s="40" t="str">
        <f>IF(TRIM(Base_Original!D10)="","",SUBSTITUTE(TRIM(Base_Original!D10),"anos",""))</f>
        <v>66</v>
      </c>
      <c r="H10" s="50">
        <f>IF($J10="","Vazio",DATEDIF($J10,DATE(2026,9,10),"Y"))</f>
        <v>66</v>
      </c>
      <c r="I1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0" s="33">
        <v>22101</v>
      </c>
      <c r="K10" s="42" t="s">
        <v>30</v>
      </c>
      <c r="L10" s="42" t="str">
        <f>PROPER(Base_Original!G10)</f>
        <v>Essos</v>
      </c>
      <c r="M10" s="43">
        <v>16800</v>
      </c>
      <c r="N10" s="43">
        <f>IF(ISNUMBER(Base_Original!I10),Base_Original!I10,IF(RIGHT(Base_Original!I10,7)=" moedas",VALUE(LEFT(Base_Original!I10,LEN(Base_Original!I10)-7)),Base_Original!I10))</f>
        <v>79500</v>
      </c>
      <c r="O10" s="44" t="str">
        <f>IF(AND($N10&gt;50000,$Q10="Sim"),"Negada","Aprovada")</f>
        <v>Aprovada</v>
      </c>
      <c r="P10" s="45" t="str">
        <f>IF(AND($T10="Negada",$O10="Negada"),0,IF($B10="Ativo",$U10*8%,"0"))</f>
        <v>0</v>
      </c>
      <c r="Q10" s="46" t="str">
        <f>IF(OR(Base_Original!J10="Sim",Base_Original!J10="sim",Base_Original!J10="SIM"),"Sim",IF(OR(Base_Original!J10="Não",Base_Original!J10="não",Base_Original!J10="NÃO",Base_Original!J10="Nao"),"Não",IF(Base_Original!J10="","vazio",Base_Original!J10)))</f>
        <v>Não</v>
      </c>
      <c r="R10" s="46">
        <f>IF(ISNUMBER(Base_Original!K10),Base_Original!K10,IF(RIGHT(Base_Original!K10,9)=" batalhas",VALUE(LEFT(Base_Original!K10,LEN(Base_Original!K10)-9)),Base_Original!K10))</f>
        <v>36</v>
      </c>
      <c r="S10" s="42" t="str">
        <f>IF($R10="vazio","vazio",IF($R10&lt;=10,"Baixo",IF($R10&lt;=25,"Médio","Alto")))</f>
        <v>Alto</v>
      </c>
      <c r="T10" s="42" t="str">
        <f>IF(AND($S10="Alto",$Q10="Sim"),"Negada","Aprovada")</f>
        <v>Aprovada</v>
      </c>
      <c r="U10" s="43">
        <v>1500</v>
      </c>
    </row>
    <row r="11" spans="1:21">
      <c r="A11" s="47" t="s">
        <v>863</v>
      </c>
      <c r="B11" s="37" t="str">
        <f>IF(Base_Original!A11="","vazio",IF(Base_Original!A11="ATIVO","Ativo",IF(Base_Original!A11="INATIVO","Inativo",Base_Original!A11)))</f>
        <v>Ativo</v>
      </c>
      <c r="C11" s="37" t="str">
        <f>PROPER(Base_Original!B11)</f>
        <v>Arya Marbrand</v>
      </c>
      <c r="D11" s="38" t="s">
        <v>50</v>
      </c>
      <c r="E11" s="39" t="str">
        <f>IF($D11="","Vazio",IF(LEN(SUBSTITUTE(SUBSTITUTE($D11&amp;"",".",""),"-",""))&lt;&gt;11,"Inválido","OK"))</f>
        <v>OK</v>
      </c>
      <c r="F11" s="39" t="str">
        <f>IF($D11="","Vazio",IF(COUNTIF($D$2:$D$369,$D11)&gt;1,"Duplicado","Único"))</f>
        <v>Único</v>
      </c>
      <c r="G11" s="40" t="str">
        <f>IF(TRIM(Base_Original!D11)="","",SUBSTITUTE(TRIM(Base_Original!D11),"anos",""))</f>
        <v>24</v>
      </c>
      <c r="H11" s="50">
        <f>IF($J11="","Vazio",DATEDIF($J11,DATE(2026,9,10),"Y"))</f>
        <v>24</v>
      </c>
      <c r="I1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1" s="33">
        <v>37172</v>
      </c>
      <c r="K11" s="42" t="s">
        <v>51</v>
      </c>
      <c r="L11" s="42" t="str">
        <f>PROPER(Base_Original!G11)</f>
        <v>Vale</v>
      </c>
      <c r="M11" s="43">
        <v>21600</v>
      </c>
      <c r="N11" s="43">
        <f>IF(ISNUMBER(Base_Original!I11),Base_Original!I11,IF(RIGHT(Base_Original!I11,7)=" moedas",VALUE(LEFT(Base_Original!I11,LEN(Base_Original!I11)-7)),Base_Original!I11))</f>
        <v>25000</v>
      </c>
      <c r="O11" s="44" t="str">
        <f>IF(AND($N11&gt;50000,$Q11="Sim"),"Negada","Aprovada")</f>
        <v>Aprovada</v>
      </c>
      <c r="P11" s="45">
        <f>IF(AND($T11="Negada",$O11="Negada"),0,IF($B11="Ativo",$U11*8%,"0"))</f>
        <v>1400</v>
      </c>
      <c r="Q11" s="46" t="str">
        <f>IF(OR(Base_Original!J11="Sim",Base_Original!J11="sim",Base_Original!J11="SIM"),"Sim",IF(OR(Base_Original!J11="Não",Base_Original!J11="não",Base_Original!J11="NÃO",Base_Original!J11="Nao"),"Não",IF(Base_Original!J11="","vazio",Base_Original!J11)))</f>
        <v>Não</v>
      </c>
      <c r="R11" s="46">
        <f>IF(ISNUMBER(Base_Original!K11),Base_Original!K11,IF(RIGHT(Base_Original!K11,9)=" batalhas",VALUE(LEFT(Base_Original!K11,LEN(Base_Original!K11)-9)),Base_Original!K11))</f>
        <v>33</v>
      </c>
      <c r="S11" s="42" t="str">
        <f>IF($R11="vazio","vazio",IF($R11&lt;=10,"Baixo",IF($R11&lt;=25,"Médio","Alto")))</f>
        <v>Alto</v>
      </c>
      <c r="T11" s="42" t="str">
        <f>IF(AND($S11="Alto",$Q11="Sim"),"Negada","Aprovada")</f>
        <v>Aprovada</v>
      </c>
      <c r="U11" s="43">
        <v>17500</v>
      </c>
    </row>
    <row r="12" spans="1:21">
      <c r="A12" s="47" t="s">
        <v>864</v>
      </c>
      <c r="B12" s="37" t="str">
        <f>IF(Base_Original!A12="","vazio",IF(Base_Original!A12="ATIVO","Ativo",IF(Base_Original!A12="INATIVO","Inativo",Base_Original!A12)))</f>
        <v>Ativo</v>
      </c>
      <c r="C12" s="37" t="str">
        <f>PROPER(Base_Original!B12)</f>
        <v>Arya Redwyne</v>
      </c>
      <c r="D12" s="38" t="s">
        <v>54</v>
      </c>
      <c r="E12" s="39" t="str">
        <f>IF($D12="","Vazio",IF(LEN(SUBSTITUTE(SUBSTITUTE($D12&amp;"",".",""),"-",""))&lt;&gt;11,"Inválido","OK"))</f>
        <v>OK</v>
      </c>
      <c r="F12" s="39" t="str">
        <f>IF($D12="","Vazio",IF(COUNTIF($D$2:$D$369,$D12)&gt;1,"Duplicado","Único"))</f>
        <v>Único</v>
      </c>
      <c r="G12" s="40" t="str">
        <f>IF(TRIM(Base_Original!D12)="","",SUBSTITUTE(TRIM(Base_Original!D12),"anos",""))</f>
        <v>21</v>
      </c>
      <c r="H12" s="50">
        <f>IF($J12="","Vazio",DATEDIF($J12,DATE(2026,9,10),"Y"))</f>
        <v>21</v>
      </c>
      <c r="I1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2" s="33">
        <v>38323</v>
      </c>
      <c r="K12" s="42" t="s">
        <v>25</v>
      </c>
      <c r="L12" s="42" t="str">
        <f>PROPER(Base_Original!G12)</f>
        <v>Terras Fluviais</v>
      </c>
      <c r="M12" s="43">
        <v>3800</v>
      </c>
      <c r="N12" s="43">
        <v>0</v>
      </c>
      <c r="O12" s="44" t="str">
        <f>IF(AND($N12&gt;50000,$Q12="Sim"),"Negada","Aprovada")</f>
        <v>Aprovada</v>
      </c>
      <c r="P12" s="45">
        <f>IF(AND($T12="Negada",$O12="Negada"),0,IF($B12="Ativo",$U12*8%,"0"))</f>
        <v>4000</v>
      </c>
      <c r="Q12" s="46" t="str">
        <f>IF(OR(Base_Original!J12="Sim",Base_Original!J12="sim",Base_Original!J12="SIM"),"Sim",IF(OR(Base_Original!J12="Não",Base_Original!J12="não",Base_Original!J12="NÃO",Base_Original!J12="Nao"),"Não",IF(Base_Original!J12="","vazio",Base_Original!J12)))</f>
        <v>Não</v>
      </c>
      <c r="R12" s="46">
        <f>IF(ISNUMBER(Base_Original!K12),Base_Original!K12,IF(RIGHT(Base_Original!K12,9)=" batalhas",VALUE(LEFT(Base_Original!K12,LEN(Base_Original!K12)-9)),Base_Original!K12))</f>
        <v>25</v>
      </c>
      <c r="S12" s="42" t="str">
        <f>IF($R12="vazio","vazio",IF($R12&lt;=10,"Baixo",IF($R12&lt;=25,"Médio","Alto")))</f>
        <v>Médio</v>
      </c>
      <c r="T12" s="42" t="str">
        <f>IF(AND($S12="Alto",$Q12="Sim"),"Negada","Aprovada")</f>
        <v>Aprovada</v>
      </c>
      <c r="U12" s="43">
        <v>50000</v>
      </c>
    </row>
    <row r="13" spans="1:21">
      <c r="A13" s="47" t="s">
        <v>865</v>
      </c>
      <c r="B13" s="37" t="str">
        <f>IF(Base_Original!A13="","vazio",IF(Base_Original!A13="ATIVO","Ativo",IF(Base_Original!A13="INATIVO","Inativo",Base_Original!A13)))</f>
        <v>Inativo</v>
      </c>
      <c r="C13" s="37" t="str">
        <f>PROPER(Base_Original!B13)</f>
        <v>Asha Arryn</v>
      </c>
      <c r="D13" s="38" t="s">
        <v>59</v>
      </c>
      <c r="E13" s="39" t="str">
        <f>IF($D13="","Vazio",IF(LEN(SUBSTITUTE(SUBSTITUTE($D13&amp;"",".",""),"-",""))&lt;&gt;11,"Inválido","OK"))</f>
        <v>OK</v>
      </c>
      <c r="F13" s="39" t="str">
        <f>IF($D13="","Vazio",IF(COUNTIF($D$2:$D$369,$D13)&gt;1,"Duplicado","Único"))</f>
        <v>Único</v>
      </c>
      <c r="G13" s="40" t="str">
        <f>IF(TRIM(Base_Original!D13)="","",SUBSTITUTE(TRIM(Base_Original!D13),"anos",""))</f>
        <v>49</v>
      </c>
      <c r="H13" s="50">
        <f>IF($J13="","Vazio",DATEDIF($J13,DATE(2026,9,10),"Y"))</f>
        <v>49</v>
      </c>
      <c r="I1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3" s="33">
        <v>28049</v>
      </c>
      <c r="K13" s="42" t="s">
        <v>40</v>
      </c>
      <c r="L13" s="42" t="str">
        <f>PROPER(Base_Original!G13)</f>
        <v>Norte</v>
      </c>
      <c r="M13" s="43">
        <v>25200</v>
      </c>
      <c r="N13" s="43">
        <f>IF(ISNUMBER(Base_Original!I13),Base_Original!I13,IF(RIGHT(Base_Original!I13,7)=" moedas",VALUE(LEFT(Base_Original!I13,LEN(Base_Original!I13)-7)),Base_Original!I13))</f>
        <v>59500</v>
      </c>
      <c r="O13" s="44" t="str">
        <f>IF(AND($N13&gt;50000,$Q13="Sim"),"Negada","Aprovada")</f>
        <v>Aprovada</v>
      </c>
      <c r="P13" s="45" t="str">
        <f>IF(AND($T13="Negada",$O13="Negada"),0,IF($B13="Ativo",$U13*8%,"0"))</f>
        <v>0</v>
      </c>
      <c r="Q13" s="46" t="str">
        <f>IF(OR(Base_Original!J13="Sim",Base_Original!J13="sim",Base_Original!J13="SIM"),"Sim",IF(OR(Base_Original!J13="Não",Base_Original!J13="não",Base_Original!J13="NÃO",Base_Original!J13="Nao"),"Não",IF(Base_Original!J13="","vazio",Base_Original!J13)))</f>
        <v>Não</v>
      </c>
      <c r="R13" s="46">
        <f>IF(ISNUMBER(Base_Original!K13),Base_Original!K13,IF(RIGHT(Base_Original!K13,9)=" batalhas",VALUE(LEFT(Base_Original!K13,LEN(Base_Original!K13)-9)),Base_Original!K13))</f>
        <v>37</v>
      </c>
      <c r="S13" s="42" t="str">
        <f>IF($R13="vazio","vazio",IF($R13&lt;=10,"Baixo",IF($R13&lt;=25,"Médio","Alto")))</f>
        <v>Alto</v>
      </c>
      <c r="T13" s="42" t="str">
        <f>IF(AND($S13="Alto",$Q13="Sim"),"Negada","Aprovada")</f>
        <v>Aprovada</v>
      </c>
      <c r="U13" s="43">
        <v>86500</v>
      </c>
    </row>
    <row r="14" spans="1:21">
      <c r="A14" s="47" t="s">
        <v>866</v>
      </c>
      <c r="B14" s="37" t="str">
        <f>IF(Base_Original!A14="","vazio",IF(Base_Original!A14="ATIVO","Ativo",IF(Base_Original!A14="INATIVO","Inativo",Base_Original!A14)))</f>
        <v>Ativo</v>
      </c>
      <c r="C14" s="37" t="str">
        <f>PROPER(Base_Original!B14)</f>
        <v>Asha Baratheon</v>
      </c>
      <c r="D14" s="38" t="s">
        <v>61</v>
      </c>
      <c r="E14" s="39" t="str">
        <f>IF($D14="","Vazio",IF(LEN(SUBSTITUTE(SUBSTITUTE($D14&amp;"",".",""),"-",""))&lt;&gt;11,"Inválido","OK"))</f>
        <v>OK</v>
      </c>
      <c r="F14" s="39" t="str">
        <f>IF($D14="","Vazio",IF(COUNTIF($D$2:$D$369,$D14)&gt;1,"Duplicado","Único"))</f>
        <v>Único</v>
      </c>
      <c r="G14" s="40" t="str">
        <f>IF(TRIM(Base_Original!D14)="","",SUBSTITUTE(TRIM(Base_Original!D14),"anos",""))</f>
        <v>70</v>
      </c>
      <c r="H14" s="50">
        <f>IF($J14="","Vazio",DATEDIF($J14,DATE(2026,9,10),"Y"))</f>
        <v>70</v>
      </c>
      <c r="I1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4" s="33">
        <v>20570</v>
      </c>
      <c r="K14" s="42" t="s">
        <v>62</v>
      </c>
      <c r="L14" s="42" t="str">
        <f>PROPER(Base_Original!G14)</f>
        <v>Essos</v>
      </c>
      <c r="M14" s="43">
        <v>16300</v>
      </c>
      <c r="N14" s="43">
        <f>IF(ISNUMBER(Base_Original!I14),Base_Original!I14,IF(RIGHT(Base_Original!I14,7)=" moedas",VALUE(LEFT(Base_Original!I14,LEN(Base_Original!I14)-7)),Base_Original!I14))</f>
        <v>16500</v>
      </c>
      <c r="O14" s="44" t="str">
        <f>IF(AND($N14&gt;50000,$Q14="Sim"),"Negada","Aprovada")</f>
        <v>Aprovada</v>
      </c>
      <c r="P14" s="45">
        <f>IF(AND($T14="Negada",$O14="Negada"),0,IF($B14="Ativo",$U14*8%,"0"))</f>
        <v>5240</v>
      </c>
      <c r="Q14" s="46" t="str">
        <f>IF(OR(Base_Original!J14="Sim",Base_Original!J14="sim",Base_Original!J14="SIM"),"Sim",IF(OR(Base_Original!J14="Não",Base_Original!J14="não",Base_Original!J14="NÃO",Base_Original!J14="Nao"),"Não",IF(Base_Original!J14="","vazio",Base_Original!J14)))</f>
        <v>Não</v>
      </c>
      <c r="R14" s="46">
        <f>IF(ISNUMBER(Base_Original!K14),Base_Original!K14,IF(RIGHT(Base_Original!K14,9)=" batalhas",VALUE(LEFT(Base_Original!K14,LEN(Base_Original!K14)-9)),Base_Original!K14))</f>
        <v>25</v>
      </c>
      <c r="S14" s="42" t="str">
        <f>IF($R14="vazio","vazio",IF($R14&lt;=10,"Baixo",IF($R14&lt;=25,"Médio","Alto")))</f>
        <v>Médio</v>
      </c>
      <c r="T14" s="42" t="str">
        <f>IF(AND($S14="Alto",$Q14="Sim"),"Negada","Aprovada")</f>
        <v>Aprovada</v>
      </c>
      <c r="U14" s="43">
        <v>65500</v>
      </c>
    </row>
    <row r="15" spans="1:21">
      <c r="A15" s="47" t="s">
        <v>867</v>
      </c>
      <c r="B15" s="37" t="str">
        <f>IF(Base_Original!A15="","vazio",IF(Base_Original!A15="ATIVO","Ativo",IF(Base_Original!A15="INATIVO","Inativo",Base_Original!A15)))</f>
        <v>Ativo</v>
      </c>
      <c r="C15" s="37" t="str">
        <f>PROPER(Base_Original!B15)</f>
        <v>Asha Blackwood</v>
      </c>
      <c r="D15" s="38" t="s">
        <v>64</v>
      </c>
      <c r="E15" s="39" t="str">
        <f>IF($D15="","Vazio",IF(LEN(SUBSTITUTE(SUBSTITUTE($D15&amp;"",".",""),"-",""))&lt;&gt;11,"Inválido","OK"))</f>
        <v>OK</v>
      </c>
      <c r="F15" s="39" t="str">
        <f>IF($D15="","Vazio",IF(COUNTIF($D$2:$D$369,$D15)&gt;1,"Duplicado","Único"))</f>
        <v>Único</v>
      </c>
      <c r="G15" s="40" t="str">
        <f>IF(TRIM(Base_Original!D15)="","",SUBSTITUTE(TRIM(Base_Original!D15),"anos",""))</f>
        <v>50</v>
      </c>
      <c r="H15" s="50">
        <f>IF($J15="","Vazio",DATEDIF($J15,DATE(2026,9,10),"Y"))</f>
        <v>50</v>
      </c>
      <c r="I1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5" s="33">
        <v>27886</v>
      </c>
      <c r="K15" s="42" t="s">
        <v>34</v>
      </c>
      <c r="L15" s="42" t="str">
        <f>PROPER(Base_Original!G15)</f>
        <v>Dorne</v>
      </c>
      <c r="M15" s="43">
        <v>16100</v>
      </c>
      <c r="N15" s="43">
        <f>IF(ISNUMBER(Base_Original!I15),Base_Original!I15,IF(RIGHT(Base_Original!I15,7)=" moedas",VALUE(LEFT(Base_Original!I15,LEN(Base_Original!I15)-7)),Base_Original!I15))</f>
        <v>8000</v>
      </c>
      <c r="O15" s="44" t="str">
        <f>IF(AND($N15&gt;50000,$Q15="Sim"),"Negada","Aprovada")</f>
        <v>Aprovada</v>
      </c>
      <c r="P15" s="45">
        <f>IF(AND($T15="Negada",$O15="Negada"),0,IF($B15="Ativo",$U15*8%,"0"))</f>
        <v>2160</v>
      </c>
      <c r="Q15" s="46" t="str">
        <f>IF(OR(Base_Original!J15="Sim",Base_Original!J15="sim",Base_Original!J15="SIM"),"Sim",IF(OR(Base_Original!J15="Não",Base_Original!J15="não",Base_Original!J15="NÃO",Base_Original!J15="Nao"),"Não",IF(Base_Original!J15="","vazio",Base_Original!J15)))</f>
        <v>Sim</v>
      </c>
      <c r="R15" s="46">
        <f>IF(ISNUMBER(Base_Original!K15),Base_Original!K15,IF(RIGHT(Base_Original!K15,9)=" batalhas",VALUE(LEFT(Base_Original!K15,LEN(Base_Original!K15)-9)),Base_Original!K15))</f>
        <v>30</v>
      </c>
      <c r="S15" s="42" t="str">
        <f>IF($R15="vazio","vazio",IF($R15&lt;=10,"Baixo",IF($R15&lt;=25,"Médio","Alto")))</f>
        <v>Alto</v>
      </c>
      <c r="T15" s="42" t="str">
        <f>IF(AND($S15="Alto",$Q15="Sim"),"Negada","Aprovada")</f>
        <v>Negada</v>
      </c>
      <c r="U15" s="43">
        <v>27000</v>
      </c>
    </row>
    <row r="16" spans="1:21">
      <c r="A16" s="47" t="s">
        <v>868</v>
      </c>
      <c r="B16" s="37" t="str">
        <f>IF(Base_Original!A16="","vazio",IF(Base_Original!A16="ATIVO","Ativo",IF(Base_Original!A16="INATIVO","Inativo",Base_Original!A16)))</f>
        <v>Inativo</v>
      </c>
      <c r="C16" s="37" t="str">
        <f>PROPER(Base_Original!B16)</f>
        <v>Asha Bolton</v>
      </c>
      <c r="D16" s="38">
        <v>6900</v>
      </c>
      <c r="E16" s="39" t="str">
        <f>IF($D16="","Vazio",IF(LEN(SUBSTITUTE(SUBSTITUTE($D16&amp;"",".",""),"-",""))&lt;&gt;11,"Inválido","OK"))</f>
        <v>Inválido</v>
      </c>
      <c r="F16" s="39" t="str">
        <f>IF($D16="","Vazio",IF(COUNTIF($D$2:$D$369,$D16)&gt;1,"Duplicado","Único"))</f>
        <v>Único</v>
      </c>
      <c r="G16" s="40" t="str">
        <f>IF(TRIM(Base_Original!D16)="","",SUBSTITUTE(TRIM(Base_Original!D16),"anos",""))</f>
        <v>51</v>
      </c>
      <c r="H16" s="50">
        <f>IF($J16="","Vazio",DATEDIF($J16,DATE(2026,9,10),"Y"))</f>
        <v>51</v>
      </c>
      <c r="I1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6" s="33">
        <v>27590</v>
      </c>
      <c r="K16" s="42" t="s">
        <v>40</v>
      </c>
      <c r="L16" s="42" t="str">
        <f>PROPER(Base_Original!G16)</f>
        <v>Norte</v>
      </c>
      <c r="M16" s="43">
        <v>19400</v>
      </c>
      <c r="N16" s="43">
        <f>IF(ISNUMBER(Base_Original!I16),Base_Original!I16,IF(RIGHT(Base_Original!I16,7)=" moedas",VALUE(LEFT(Base_Original!I16,LEN(Base_Original!I16)-7)),Base_Original!I16))</f>
        <v>4000</v>
      </c>
      <c r="O16" s="44" t="str">
        <f>IF(AND($N16&gt;50000,$Q16="Sim"),"Negada","Aprovada")</f>
        <v>Aprovada</v>
      </c>
      <c r="P16" s="45" t="str">
        <f>IF(AND($T16="Negada",$O16="Negada"),0,IF($B16="Ativo",$U16*8%,"0"))</f>
        <v>0</v>
      </c>
      <c r="Q16" s="46" t="str">
        <f>IF(OR(Base_Original!J16="Sim",Base_Original!J16="sim",Base_Original!J16="SIM"),"Sim",IF(OR(Base_Original!J16="Não",Base_Original!J16="não",Base_Original!J16="NÃO",Base_Original!J16="Nao"),"Não",IF(Base_Original!J16="","vazio",Base_Original!J16)))</f>
        <v>Não</v>
      </c>
      <c r="R16" s="46">
        <f>IF(ISNUMBER(Base_Original!K16),Base_Original!K16,IF(RIGHT(Base_Original!K16,9)=" batalhas",VALUE(LEFT(Base_Original!K16,LEN(Base_Original!K16)-9)),Base_Original!K16))</f>
        <v>30</v>
      </c>
      <c r="S16" s="42" t="str">
        <f>IF($R16="vazio","vazio",IF($R16&lt;=10,"Baixo",IF($R16&lt;=25,"Médio","Alto")))</f>
        <v>Alto</v>
      </c>
      <c r="T16" s="42" t="str">
        <f>IF(AND($S16="Alto",$Q16="Sim"),"Negada","Aprovada")</f>
        <v>Aprovada</v>
      </c>
      <c r="U16" s="43">
        <v>38500</v>
      </c>
    </row>
    <row r="17" spans="1:21">
      <c r="A17" s="47" t="s">
        <v>869</v>
      </c>
      <c r="B17" s="37" t="str">
        <f>IF(Base_Original!A17="","vazio",IF(Base_Original!A17="ATIVO","Ativo",IF(Base_Original!A17="INATIVO","Inativo",Base_Original!A17)))</f>
        <v>Ativo</v>
      </c>
      <c r="C17" s="37" t="str">
        <f>PROPER(Base_Original!B17)</f>
        <v>Asha Hornwood</v>
      </c>
      <c r="D17" s="38" t="s">
        <v>68</v>
      </c>
      <c r="E17" s="39" t="str">
        <f>IF($D17="","Vazio",IF(LEN(SUBSTITUTE(SUBSTITUTE($D17&amp;"",".",""),"-",""))&lt;&gt;11,"Inválido","OK"))</f>
        <v>OK</v>
      </c>
      <c r="F17" s="39" t="str">
        <f>IF($D17="","Vazio",IF(COUNTIF($D$2:$D$369,$D17)&gt;1,"Duplicado","Único"))</f>
        <v>Único</v>
      </c>
      <c r="G17" s="40" t="str">
        <f>IF(TRIM(Base_Original!D17)="","",SUBSTITUTE(TRIM(Base_Original!D17),"anos",""))</f>
        <v>33</v>
      </c>
      <c r="H17" s="50">
        <f>IF($J17="","Vazio",DATEDIF($J17,DATE(2026,9,10),"Y"))</f>
        <v>33</v>
      </c>
      <c r="I1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7" s="33">
        <v>34144</v>
      </c>
      <c r="K17" s="42" t="s">
        <v>69</v>
      </c>
      <c r="L17" s="42" t="str">
        <f>PROPER(Base_Original!G17)</f>
        <v>Terras Da Coroa</v>
      </c>
      <c r="M17" s="43">
        <v>21500</v>
      </c>
      <c r="N17" s="43" t="str">
        <f>IF(ISNUMBER(Base_Original!I17),Base_Original!I17,IF(RIGHT(Base_Original!I17,7)=" moedas",VALUE(LEFT(Base_Original!I17,LEN(Base_Original!I17)-7)),Base_Original!I17))</f>
        <v>N/A</v>
      </c>
      <c r="O17" s="44" t="str">
        <f>IF(AND($N17&gt;50000,$Q17="Sim"),"Negada","Aprovada")</f>
        <v>Aprovada</v>
      </c>
      <c r="P17" s="45">
        <f>IF(AND($T17="Negada",$O17="Negada"),0,IF($B17="Ativo",$U17*8%,"0"))</f>
        <v>4120</v>
      </c>
      <c r="Q17" s="46" t="str">
        <f>IF(OR(Base_Original!J17="Sim",Base_Original!J17="sim",Base_Original!J17="SIM"),"Sim",IF(OR(Base_Original!J17="Não",Base_Original!J17="não",Base_Original!J17="NÃO",Base_Original!J17="Nao"),"Não",IF(Base_Original!J17="","vazio",Base_Original!J17)))</f>
        <v>Não</v>
      </c>
      <c r="R17" s="46">
        <f>IF(ISNUMBER(Base_Original!K17),Base_Original!K17,IF(RIGHT(Base_Original!K17,9)=" batalhas",VALUE(LEFT(Base_Original!K17,LEN(Base_Original!K17)-9)),Base_Original!K17))</f>
        <v>22</v>
      </c>
      <c r="S17" s="42" t="str">
        <f>IF($R17="vazio","vazio",IF($R17&lt;=10,"Baixo",IF($R17&lt;=25,"Médio","Alto")))</f>
        <v>Médio</v>
      </c>
      <c r="T17" s="42" t="str">
        <f>IF(AND($S17="Alto",$Q17="Sim"),"Negada","Aprovada")</f>
        <v>Aprovada</v>
      </c>
      <c r="U17" s="43">
        <v>51500</v>
      </c>
    </row>
    <row r="18" spans="1:21">
      <c r="A18" s="47" t="s">
        <v>870</v>
      </c>
      <c r="B18" s="37" t="str">
        <f>IF(Base_Original!A18="","vazio",IF(Base_Original!A18="ATIVO","Ativo",IF(Base_Original!A18="INATIVO","Inativo",Base_Original!A18)))</f>
        <v>Inativo</v>
      </c>
      <c r="C18" s="37" t="str">
        <f>PROPER(Base_Original!B18)</f>
        <v>Asha Manderly</v>
      </c>
      <c r="D18" s="38" t="s">
        <v>74</v>
      </c>
      <c r="E18" s="39" t="str">
        <f>IF($D18="","Vazio",IF(LEN(SUBSTITUTE(SUBSTITUTE($D18&amp;"",".",""),"-",""))&lt;&gt;11,"Inválido","OK"))</f>
        <v>OK</v>
      </c>
      <c r="F18" s="39" t="str">
        <f>IF($D18="","Vazio",IF(COUNTIF($D$2:$D$369,$D18)&gt;1,"Duplicado","Único"))</f>
        <v>Único</v>
      </c>
      <c r="G18" s="40" t="str">
        <f>IF(TRIM(Base_Original!D18)="","",SUBSTITUTE(TRIM(Base_Original!D18),"anos",""))</f>
        <v>29</v>
      </c>
      <c r="H18" s="50">
        <f>IF($J18="","Vazio",DATEDIF($J18,DATE(2026,9,10),"Y"))</f>
        <v>29</v>
      </c>
      <c r="I1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8" s="33">
        <v>35607</v>
      </c>
      <c r="K18" s="42" t="s">
        <v>75</v>
      </c>
      <c r="L18" s="42" t="str">
        <f>PROPER(Base_Original!G18)</f>
        <v>Norte</v>
      </c>
      <c r="M18" s="43">
        <v>13800</v>
      </c>
      <c r="N18" s="43">
        <f>IF(ISNUMBER(Base_Original!I18),Base_Original!I18,IF(RIGHT(Base_Original!I18,7)=" moedas",VALUE(LEFT(Base_Original!I18,LEN(Base_Original!I18)-7)),Base_Original!I18))</f>
        <v>41500</v>
      </c>
      <c r="O18" s="44" t="str">
        <f>IF(AND($N18&gt;50000,$Q18="Sim"),"Negada","Aprovada")</f>
        <v>Aprovada</v>
      </c>
      <c r="P18" s="45" t="str">
        <f>IF(AND($T18="Negada",$O18="Negada"),0,IF($B18="Ativo",$U18*8%,"0"))</f>
        <v>0</v>
      </c>
      <c r="Q18" s="46" t="str">
        <f>IF(OR(Base_Original!J18="Sim",Base_Original!J18="sim",Base_Original!J18="SIM"),"Sim",IF(OR(Base_Original!J18="Não",Base_Original!J18="não",Base_Original!J18="NÃO",Base_Original!J18="Nao"),"Não",IF(Base_Original!J18="","vazio",Base_Original!J18)))</f>
        <v>Não</v>
      </c>
      <c r="R18" s="46">
        <f>IF(ISNUMBER(Base_Original!K18),Base_Original!K18,IF(RIGHT(Base_Original!K18,9)=" batalhas",VALUE(LEFT(Base_Original!K18,LEN(Base_Original!K18)-9)),Base_Original!K18))</f>
        <v>34</v>
      </c>
      <c r="S18" s="42" t="str">
        <f>IF($R18="vazio","vazio",IF($R18&lt;=10,"Baixo",IF($R18&lt;=25,"Médio","Alto")))</f>
        <v>Alto</v>
      </c>
      <c r="T18" s="42" t="str">
        <f>IF(AND($S18="Alto",$Q18="Sim"),"Negada","Aprovada")</f>
        <v>Aprovada</v>
      </c>
      <c r="U18" s="43">
        <v>66000</v>
      </c>
    </row>
    <row r="19" spans="1:21">
      <c r="A19" s="47" t="s">
        <v>871</v>
      </c>
      <c r="B19" s="37" t="str">
        <f>IF(Base_Original!A19="","vazio",IF(Base_Original!A19="ATIVO","Ativo",IF(Base_Original!A19="INATIVO","Inativo",Base_Original!A19)))</f>
        <v>Ativo</v>
      </c>
      <c r="C19" s="37" t="str">
        <f>PROPER(Base_Original!B19)</f>
        <v>Asha Redwyne</v>
      </c>
      <c r="D19" s="38">
        <v>10200</v>
      </c>
      <c r="E19" s="39" t="str">
        <f>IF($D19="","Vazio",IF(LEN(SUBSTITUTE(SUBSTITUTE($D19&amp;"",".",""),"-",""))&lt;&gt;11,"Inválido","OK"))</f>
        <v>Inválido</v>
      </c>
      <c r="F19" s="39" t="str">
        <f>IF($D19="","Vazio",IF(COUNTIF($D$2:$D$369,$D19)&gt;1,"Duplicado","Único"))</f>
        <v>Único</v>
      </c>
      <c r="G19" s="40" t="str">
        <f>IF(TRIM(Base_Original!D19)="","",SUBSTITUTE(TRIM(Base_Original!D19),"anos",""))</f>
        <v>35</v>
      </c>
      <c r="H19" s="50">
        <f>IF($J19="","Vazio",DATEDIF($J19,DATE(2026,9,10),"Y"))</f>
        <v>35</v>
      </c>
      <c r="I1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9" s="33">
        <v>33444</v>
      </c>
      <c r="K19" s="42" t="s">
        <v>69</v>
      </c>
      <c r="L19" s="42" t="str">
        <f>PROPER(Base_Original!G19)</f>
        <v>Terras Da Coroa</v>
      </c>
      <c r="M19" s="43">
        <v>8400</v>
      </c>
      <c r="N19" s="43">
        <f>IF(ISNUMBER(Base_Original!I19),Base_Original!I19,IF(RIGHT(Base_Original!I19,7)=" moedas",VALUE(LEFT(Base_Original!I19,LEN(Base_Original!I19)-7)),Base_Original!I19))</f>
        <v>62500</v>
      </c>
      <c r="O19" s="44" t="str">
        <f>IF(AND($N19&gt;50000,$Q19="Sim"),"Negada","Aprovada")</f>
        <v>Aprovada</v>
      </c>
      <c r="P19" s="45">
        <f>IF(AND($T19="Negada",$O19="Negada"),0,IF($B19="Ativo",$U19*8%,"0"))</f>
        <v>6680</v>
      </c>
      <c r="Q19" s="46" t="str">
        <f>IF(OR(Base_Original!J19="Sim",Base_Original!J19="sim",Base_Original!J19="SIM"),"Sim",IF(OR(Base_Original!J19="Não",Base_Original!J19="não",Base_Original!J19="NÃO",Base_Original!J19="Nao"),"Não",IF(Base_Original!J19="","vazio",Base_Original!J19)))</f>
        <v>Não</v>
      </c>
      <c r="R19" s="46">
        <f>IF(ISNUMBER(Base_Original!K19),Base_Original!K19,IF(RIGHT(Base_Original!K19,9)=" batalhas",VALUE(LEFT(Base_Original!K19,LEN(Base_Original!K19)-9)),Base_Original!K19))</f>
        <v>31</v>
      </c>
      <c r="S19" s="42" t="str">
        <f>IF($R19="vazio","vazio",IF($R19&lt;=10,"Baixo",IF($R19&lt;=25,"Médio","Alto")))</f>
        <v>Alto</v>
      </c>
      <c r="T19" s="42" t="str">
        <f>IF(AND($S19="Alto",$Q19="Sim"),"Negada","Aprovada")</f>
        <v>Aprovada</v>
      </c>
      <c r="U19" s="43">
        <v>83500</v>
      </c>
    </row>
    <row r="20" spans="1:21">
      <c r="A20" s="47" t="s">
        <v>872</v>
      </c>
      <c r="B20" s="37" t="str">
        <f>IF(Base_Original!A21="","vazio",IF(Base_Original!A21="ATIVO","Ativo",IF(Base_Original!A21="INATIVO","Inativo",Base_Original!A21)))</f>
        <v>Ativo</v>
      </c>
      <c r="C20" s="37" t="str">
        <f>PROPER(Base_Original!B21)</f>
        <v>Asha Tallhart</v>
      </c>
      <c r="D20" s="38">
        <v>8600</v>
      </c>
      <c r="E20" s="39" t="str">
        <f>IF($D20="","Vazio",IF(LEN(SUBSTITUTE(SUBSTITUTE($D20&amp;"",".",""),"-",""))&lt;&gt;11,"Inválido","OK"))</f>
        <v>Inválido</v>
      </c>
      <c r="F20" s="39" t="str">
        <f>IF($D20="","Vazio",IF(COUNTIF($D$2:$D$369,$D20)&gt;1,"Duplicado","Único"))</f>
        <v>Único</v>
      </c>
      <c r="G20" s="40" t="str">
        <f>IF(TRIM(Base_Original!D20)="","",SUBSTITUTE(TRIM(Base_Original!D20),"anos",""))</f>
        <v/>
      </c>
      <c r="H20" s="50">
        <f>IF($J20="","Vazio",DATEDIF($J20,DATE(2026,9,10),"Y"))</f>
        <v>38</v>
      </c>
      <c r="I2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20" s="33">
        <v>32260</v>
      </c>
      <c r="K20" s="42" t="s">
        <v>44</v>
      </c>
      <c r="L20" s="42" t="str">
        <f>PROPER(Base_Original!G20)</f>
        <v>Ilhas De Ferro</v>
      </c>
      <c r="M20" s="43">
        <v>19900</v>
      </c>
      <c r="N20" s="43">
        <f>IF(ISNUMBER(Base_Original!I21),Base_Original!I21,IF(RIGHT(Base_Original!I21,7)=" moedas",VALUE(LEFT(Base_Original!I21,LEN(Base_Original!I21)-7)),Base_Original!I21))</f>
        <v>55000</v>
      </c>
      <c r="O20" s="44" t="str">
        <f>IF(AND($N20&gt;50000,$Q20="Sim"),"Negada","Aprovada")</f>
        <v>Aprovada</v>
      </c>
      <c r="P20" s="45">
        <f>IF(AND($T20="Negada",$O20="Negada"),0,IF($B20="Ativo",$U20*8%,"0"))</f>
        <v>3800</v>
      </c>
      <c r="Q20" s="46" t="str">
        <f>IF(OR(Base_Original!J21="Sim",Base_Original!J21="sim",Base_Original!J21="SIM"),"Sim",IF(OR(Base_Original!J21="Não",Base_Original!J21="não",Base_Original!J21="NÃO",Base_Original!J21="Nao"),"Não",IF(Base_Original!J21="","vazio",Base_Original!J21)))</f>
        <v>Não</v>
      </c>
      <c r="R20" s="46">
        <f>IF(ISNUMBER(Base_Original!K21),Base_Original!K21,IF(RIGHT(Base_Original!K21,9)=" batalhas",VALUE(LEFT(Base_Original!K21,LEN(Base_Original!K21)-9)),Base_Original!K21))</f>
        <v>26</v>
      </c>
      <c r="S20" s="42" t="str">
        <f>IF($R20="vazio","vazio",IF($R20&lt;=10,"Baixo",IF($R20&lt;=25,"Médio","Alto")))</f>
        <v>Alto</v>
      </c>
      <c r="T20" s="42" t="str">
        <f>IF(AND($S20="Alto",$Q20="Sim"),"Negada","Aprovada")</f>
        <v>Aprovada</v>
      </c>
      <c r="U20" s="43">
        <v>47500</v>
      </c>
    </row>
    <row r="21" spans="1:21">
      <c r="A21" s="47" t="s">
        <v>873</v>
      </c>
      <c r="B21" s="37" t="str">
        <f>IF(Base_Original!A20="","vazio",IF(Base_Original!A20="ATIVO","Ativo",IF(Base_Original!A20="INATIVO","Inativo",Base_Original!A20)))</f>
        <v>Ativo</v>
      </c>
      <c r="C21" s="37" t="str">
        <f>PROPER(Base_Original!B20)</f>
        <v>Asha Tallhart</v>
      </c>
      <c r="D21" s="38" t="s">
        <v>81</v>
      </c>
      <c r="E21" s="39" t="str">
        <f>IF($D21="","Vazio",IF(LEN(SUBSTITUTE(SUBSTITUTE($D21&amp;"",".",""),"-",""))&lt;&gt;11,"Inválido","OK"))</f>
        <v>OK</v>
      </c>
      <c r="F21" s="39" t="str">
        <f>IF($D21="","Vazio",IF(COUNTIF($D$2:$D$369,$D21)&gt;1,"Duplicado","Único"))</f>
        <v>Único</v>
      </c>
      <c r="G21" s="40" t="str">
        <f>IF(TRIM(Base_Original!D21)="","",SUBSTITUTE(TRIM(Base_Original!D21),"anos",""))</f>
        <v>59</v>
      </c>
      <c r="H21" s="50">
        <f>IF($J21="","Vazio",DATEDIF($J21,DATE(2026,9,10),"Y"))</f>
        <v>59</v>
      </c>
      <c r="I2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1" s="33">
        <v>24710</v>
      </c>
      <c r="K21" s="42" t="s">
        <v>82</v>
      </c>
      <c r="L21" s="42" t="str">
        <f>PROPER(Base_Original!G21)</f>
        <v/>
      </c>
      <c r="M21" s="43">
        <v>17600</v>
      </c>
      <c r="N21" s="43">
        <f>IF(ISNUMBER(Base_Original!I20),Base_Original!I20,IF(RIGHT(Base_Original!I20,7)=" moedas",VALUE(LEFT(Base_Original!I20,LEN(Base_Original!I20)-7)),Base_Original!I20))</f>
        <v>0</v>
      </c>
      <c r="O21" s="44" t="str">
        <f>IF(AND($N21&gt;50000,$Q21="Sim"),"Negada","Aprovada")</f>
        <v>Aprovada</v>
      </c>
      <c r="P21" s="45">
        <f>IF(AND($T21="Negada",$O21="Negada"),0,IF($B21="Ativo",$U21*8%,"0"))</f>
        <v>8000</v>
      </c>
      <c r="Q21" s="46" t="str">
        <f>IF(OR(Base_Original!J20="Sim",Base_Original!J20="sim",Base_Original!J20="SIM"),"Sim",IF(OR(Base_Original!J20="Não",Base_Original!J20="não",Base_Original!J20="NÃO",Base_Original!J20="Nao"),"Não",IF(Base_Original!J20="","vazio",Base_Original!J20)))</f>
        <v>Sim</v>
      </c>
      <c r="R21" s="46">
        <f>IF(ISNUMBER(Base_Original!K20),Base_Original!K20,IF(RIGHT(Base_Original!K20,9)=" batalhas",VALUE(LEFT(Base_Original!K20,LEN(Base_Original!K20)-9)),Base_Original!K20))</f>
        <v>31</v>
      </c>
      <c r="S21" s="42" t="str">
        <f>IF($R21="vazio","vazio",IF($R21&lt;=10,"Baixo",IF($R21&lt;=25,"Médio","Alto")))</f>
        <v>Alto</v>
      </c>
      <c r="T21" s="42" t="str">
        <f>IF(AND($S21="Alto",$Q21="Sim"),"Negada","Aprovada")</f>
        <v>Negada</v>
      </c>
      <c r="U21" s="43">
        <v>100000</v>
      </c>
    </row>
    <row r="22" spans="1:21">
      <c r="A22" s="47" t="s">
        <v>874</v>
      </c>
      <c r="B22" s="37" t="str">
        <f>IF(Base_Original!A22="","vazio",IF(Base_Original!A22="ATIVO","Ativo",IF(Base_Original!A22="INATIVO","Inativo",Base_Original!A22)))</f>
        <v>Ativo</v>
      </c>
      <c r="C22" s="37" t="str">
        <f>PROPER(Base_Original!B22)</f>
        <v>Beric  Karstark</v>
      </c>
      <c r="D22" s="38" t="s">
        <v>84</v>
      </c>
      <c r="E22" s="39" t="str">
        <f>IF($D22="","Vazio",IF(LEN(SUBSTITUTE(SUBSTITUTE($D22&amp;"",".",""),"-",""))&lt;&gt;11,"Inválido","OK"))</f>
        <v>OK</v>
      </c>
      <c r="F22" s="39" t="str">
        <f>IF($D22="","Vazio",IF(COUNTIF($D$2:$D$369,$D22)&gt;1,"Duplicado","Único"))</f>
        <v>Único</v>
      </c>
      <c r="G22" s="40" t="str">
        <f>IF(TRIM(Base_Original!D22)="","",SUBSTITUTE(TRIM(Base_Original!D22),"anos",""))</f>
        <v>37</v>
      </c>
      <c r="H22" s="50">
        <f>IF($J22="","Vazio",DATEDIF($J22,DATE(2026,9,10),"Y"))</f>
        <v>37</v>
      </c>
      <c r="I2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2" s="33">
        <v>32680</v>
      </c>
      <c r="K22" s="42" t="s">
        <v>62</v>
      </c>
      <c r="L22" s="42" t="str">
        <f>PROPER(Base_Original!G22)</f>
        <v>Essos</v>
      </c>
      <c r="M22" s="43">
        <v>28900</v>
      </c>
      <c r="N22" s="43">
        <f>IF(ISNUMBER(Base_Original!I22),Base_Original!I22,IF(RIGHT(Base_Original!I22,7)=" moedas",VALUE(LEFT(Base_Original!I22,LEN(Base_Original!I22)-7)),Base_Original!I22))</f>
        <v>71000</v>
      </c>
      <c r="O22" s="44" t="str">
        <f>IF(AND($N22&gt;50000,$Q22="Sim"),"Negada","Aprovada")</f>
        <v>Aprovada</v>
      </c>
      <c r="P22" s="45">
        <f>IF(AND($T22="Negada",$O22="Negada"),0,IF($B22="Ativo",$U22*8%,"0"))</f>
        <v>2920</v>
      </c>
      <c r="Q22" s="46" t="str">
        <f>IF(OR(Base_Original!J22="Sim",Base_Original!J22="sim",Base_Original!J22="SIM"),"Sim",IF(OR(Base_Original!J22="Não",Base_Original!J22="não",Base_Original!J22="NÃO",Base_Original!J22="Nao"),"Não",IF(Base_Original!J22="","vazio",Base_Original!J22)))</f>
        <v>Não</v>
      </c>
      <c r="R22" s="46">
        <f>IF(ISNUMBER(Base_Original!K22),Base_Original!K22,IF(RIGHT(Base_Original!K22,9)=" batalhas",VALUE(LEFT(Base_Original!K22,LEN(Base_Original!K22)-9)),Base_Original!K22))</f>
        <v>28</v>
      </c>
      <c r="S22" s="42" t="str">
        <f>IF($R22="vazio","vazio",IF($R22&lt;=10,"Baixo",IF($R22&lt;=25,"Médio","Alto")))</f>
        <v>Alto</v>
      </c>
      <c r="T22" s="42" t="str">
        <f>IF(AND($S22="Alto",$Q22="Sim"),"Negada","Aprovada")</f>
        <v>Aprovada</v>
      </c>
      <c r="U22" s="43">
        <v>36500</v>
      </c>
    </row>
    <row r="23" spans="1:21">
      <c r="A23" s="47" t="s">
        <v>875</v>
      </c>
      <c r="B23" s="37" t="str">
        <f>IF(Base_Original!A23="","vazio",IF(Base_Original!A23="ATIVO","Ativo",IF(Base_Original!A23="INATIVO","Inativo",Base_Original!A23)))</f>
        <v>Ativo</v>
      </c>
      <c r="C23" s="37" t="str">
        <f>PROPER(Base_Original!B23)</f>
        <v>Beric  Umber</v>
      </c>
      <c r="D23" s="38"/>
      <c r="E23" s="39" t="str">
        <f>IF($D23="","Vazio",IF(LEN(SUBSTITUTE(SUBSTITUTE($D23&amp;"",".",""),"-",""))&lt;&gt;11,"Inválido","OK"))</f>
        <v>Vazio</v>
      </c>
      <c r="F23" s="39" t="str">
        <f>IF($D23="","Vazio",IF(COUNTIF($D$2:$D$369,$D23)&gt;1,"Duplicado","Único"))</f>
        <v>Vazio</v>
      </c>
      <c r="G23" s="40" t="str">
        <f>IF(TRIM(Base_Original!D23)="","",SUBSTITUTE(TRIM(Base_Original!D23),"anos",""))</f>
        <v>73</v>
      </c>
      <c r="H23" s="50">
        <f>IF($J23="","Vazio",DATEDIF($J23,DATE(2026,9,10),"Y"))</f>
        <v>73</v>
      </c>
      <c r="I2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3" s="33">
        <v>19538</v>
      </c>
      <c r="K23" s="42" t="s">
        <v>69</v>
      </c>
      <c r="L23" s="42" t="str">
        <f>PROPER(Base_Original!G23)</f>
        <v>Terras Da Coroa</v>
      </c>
      <c r="M23" s="43">
        <v>12700</v>
      </c>
      <c r="N23" s="43">
        <f>IF(ISNUMBER(Base_Original!I23),Base_Original!I23,IF(RIGHT(Base_Original!I23,7)=" moedas",VALUE(LEFT(Base_Original!I23,LEN(Base_Original!I23)-7)),Base_Original!I23))</f>
        <v>79500</v>
      </c>
      <c r="O23" s="44" t="str">
        <f>IF(AND($N23&gt;50000,$Q23="Sim"),"Negada","Aprovada")</f>
        <v>Aprovada</v>
      </c>
      <c r="P23" s="45">
        <f>IF(AND($T23="Negada",$O23="Negada"),0,IF($B23="Ativo",$U23*8%,"0"))</f>
        <v>3120</v>
      </c>
      <c r="Q23" s="46" t="str">
        <f>IF(OR(Base_Original!J23="Sim",Base_Original!J23="sim",Base_Original!J23="SIM"),"Sim",IF(OR(Base_Original!J23="Não",Base_Original!J23="não",Base_Original!J23="NÃO",Base_Original!J23="Nao"),"Não",IF(Base_Original!J23="","vazio",Base_Original!J23)))</f>
        <v>Não</v>
      </c>
      <c r="R23" s="46">
        <f>IF(ISNUMBER(Base_Original!K23),Base_Original!K23,IF(RIGHT(Base_Original!K23,9)=" batalhas",VALUE(LEFT(Base_Original!K23,LEN(Base_Original!K23)-9)),Base_Original!K23))</f>
        <v>35</v>
      </c>
      <c r="S23" s="42" t="str">
        <f>IF($R23="vazio","vazio",IF($R23&lt;=10,"Baixo",IF($R23&lt;=25,"Médio","Alto")))</f>
        <v>Alto</v>
      </c>
      <c r="T23" s="42" t="str">
        <f>IF(AND($S23="Alto",$Q23="Sim"),"Negada","Aprovada")</f>
        <v>Aprovada</v>
      </c>
      <c r="U23" s="43">
        <v>39000</v>
      </c>
    </row>
    <row r="24" spans="1:21">
      <c r="A24" s="47" t="s">
        <v>876</v>
      </c>
      <c r="B24" s="37" t="str">
        <f>IF(Base_Original!A24="","vazio",IF(Base_Original!A24="ATIVO","Ativo",IF(Base_Original!A24="INATIVO","Inativo",Base_Original!A24)))</f>
        <v>Ativo</v>
      </c>
      <c r="C24" s="37" t="str">
        <f>PROPER(Base_Original!B24)</f>
        <v>Beric Crakehall</v>
      </c>
      <c r="D24" s="38" t="s">
        <v>88</v>
      </c>
      <c r="E24" s="39" t="str">
        <f>IF($D24="","Vazio",IF(LEN(SUBSTITUTE(SUBSTITUTE($D24&amp;"",".",""),"-",""))&lt;&gt;11,"Inválido","OK"))</f>
        <v>OK</v>
      </c>
      <c r="F24" s="39" t="str">
        <f>IF($D24="","Vazio",IF(COUNTIF($D$2:$D$369,$D24)&gt;1,"Duplicado","Único"))</f>
        <v>Único</v>
      </c>
      <c r="G24" s="40" t="str">
        <f>IF(TRIM(Base_Original!D24)="","",SUBSTITUTE(TRIM(Base_Original!D24),"anos",""))</f>
        <v>55</v>
      </c>
      <c r="H24" s="50">
        <f>IF($J24="","Vazio",DATEDIF($J24,DATE(2026,9,10),"Y"))</f>
        <v>55</v>
      </c>
      <c r="I2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4" s="33">
        <v>26104</v>
      </c>
      <c r="K24" s="42" t="s">
        <v>44</v>
      </c>
      <c r="L24" s="42" t="str">
        <f>PROPER(Base_Original!G24)</f>
        <v>Ilhas De Ferro</v>
      </c>
      <c r="M24" s="43">
        <v>22100</v>
      </c>
      <c r="N24" s="43">
        <f>IF(ISNUMBER(Base_Original!I24),Base_Original!I24,IF(RIGHT(Base_Original!I24,7)=" moedas",VALUE(LEFT(Base_Original!I24,LEN(Base_Original!I24)-7)),Base_Original!I24))</f>
        <v>41500</v>
      </c>
      <c r="O24" s="44" t="str">
        <f>IF(AND($N24&gt;50000,$Q24="Sim"),"Negada","Aprovada")</f>
        <v>Aprovada</v>
      </c>
      <c r="P24" s="45">
        <f>IF(AND($T24="Negada",$O24="Negada"),0,IF($B24="Ativo",$U24*8%,"0"))</f>
        <v>5200</v>
      </c>
      <c r="Q24" s="46" t="str">
        <f>IF(OR(Base_Original!J24="Sim",Base_Original!J24="sim",Base_Original!J24="SIM"),"Sim",IF(OR(Base_Original!J24="Não",Base_Original!J24="não",Base_Original!J24="NÃO",Base_Original!J24="Nao"),"Não",IF(Base_Original!J24="","vazio",Base_Original!J24)))</f>
        <v>Não</v>
      </c>
      <c r="R24" s="46">
        <f>IF(ISNUMBER(Base_Original!K24),Base_Original!K24,IF(RIGHT(Base_Original!K24,9)=" batalhas",VALUE(LEFT(Base_Original!K24,LEN(Base_Original!K24)-9)),Base_Original!K24))</f>
        <v>18</v>
      </c>
      <c r="S24" s="42" t="str">
        <f>IF($R24="vazio","vazio",IF($R24&lt;=10,"Baixo",IF($R24&lt;=25,"Médio","Alto")))</f>
        <v>Médio</v>
      </c>
      <c r="T24" s="42" t="str">
        <f>IF(AND($S24="Alto",$Q24="Sim"),"Negada","Aprovada")</f>
        <v>Aprovada</v>
      </c>
      <c r="U24" s="43">
        <v>65000</v>
      </c>
    </row>
    <row r="25" spans="1:21">
      <c r="A25" s="47" t="s">
        <v>877</v>
      </c>
      <c r="B25" s="37" t="str">
        <f>IF(Base_Original!A25="","vazio",IF(Base_Original!A25="ATIVO","Ativo",IF(Base_Original!A25="INATIVO","Inativo",Base_Original!A25)))</f>
        <v>Inativo</v>
      </c>
      <c r="C25" s="37" t="str">
        <f>PROPER(Base_Original!B25)</f>
        <v>Beric Manderly</v>
      </c>
      <c r="D25" s="38">
        <v>24300</v>
      </c>
      <c r="E25" s="39" t="str">
        <f>IF($D25="","Vazio",IF(LEN(SUBSTITUTE(SUBSTITUTE($D25&amp;"",".",""),"-",""))&lt;&gt;11,"Inválido","OK"))</f>
        <v>Inválido</v>
      </c>
      <c r="F25" s="39" t="str">
        <f>IF($D25="","Vazio",IF(COUNTIF($D$2:$D$369,$D25)&gt;1,"Duplicado","Único"))</f>
        <v>Único</v>
      </c>
      <c r="G25" s="40" t="str">
        <f>IF(TRIM(Base_Original!D25)="","",SUBSTITUTE(TRIM(Base_Original!D25),"anos",""))</f>
        <v>25</v>
      </c>
      <c r="H25" s="50">
        <f>IF($J25="","Vazio",DATEDIF($J25,DATE(2026,9,10),"Y"))</f>
        <v>25</v>
      </c>
      <c r="I2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5" s="33">
        <v>37131</v>
      </c>
      <c r="K25" s="42" t="s">
        <v>91</v>
      </c>
      <c r="L25" s="42" t="str">
        <f>PROPER(Base_Original!G25)</f>
        <v>Oeste</v>
      </c>
      <c r="M25" s="43">
        <v>24500</v>
      </c>
      <c r="N25" s="43" t="str">
        <f>IF(ISNUMBER(Base_Original!I25),Base_Original!I25,IF(RIGHT(Base_Original!I25,7)=" moedas",VALUE(LEFT(Base_Original!I25,LEN(Base_Original!I25)-7)),Base_Original!I25))</f>
        <v>N/A</v>
      </c>
      <c r="O25" s="44" t="str">
        <f>IF(AND($N25&gt;50000,$Q25="Sim"),"Negada","Aprovada")</f>
        <v>Aprovada</v>
      </c>
      <c r="P25" s="45" t="str">
        <f>IF(AND($T25="Negada",$O25="Negada"),0,IF($B25="Ativo",$U25*8%,"0"))</f>
        <v>0</v>
      </c>
      <c r="Q25" s="46">
        <f>IF(OR(Base_Original!J25="Sim",Base_Original!J25="sim",Base_Original!J25="SIM"),"Sim",IF(OR(Base_Original!J25="Não",Base_Original!J25="não",Base_Original!J25="NÃO",Base_Original!J25="Nao"),"Não",IF(Base_Original!J25="","vazio",Base_Original!J25)))</f>
        <v>0</v>
      </c>
      <c r="R25" s="46">
        <f>IF(ISNUMBER(Base_Original!K25),Base_Original!K25,IF(RIGHT(Base_Original!K25,9)=" batalhas",VALUE(LEFT(Base_Original!K25,LEN(Base_Original!K25)-9)),Base_Original!K25))</f>
        <v>0</v>
      </c>
      <c r="S25" s="42" t="str">
        <f>IF($R25="vazio","vazio",IF($R25&lt;=10,"Baixo",IF($R25&lt;=25,"Médio","Alto")))</f>
        <v>Baixo</v>
      </c>
      <c r="T25" s="42" t="str">
        <f>IF(AND($S25="Alto",$Q25="Sim"),"Negada","Aprovada")</f>
        <v>Aprovada</v>
      </c>
      <c r="U25" s="43">
        <v>55000</v>
      </c>
    </row>
    <row r="26" spans="1:21">
      <c r="A26" s="47" t="s">
        <v>878</v>
      </c>
      <c r="B26" s="37" t="str">
        <f>IF(Base_Original!A26="","vazio",IF(Base_Original!A26="ATIVO","Ativo",IF(Base_Original!A26="INATIVO","Inativo",Base_Original!A26)))</f>
        <v>Ativo</v>
      </c>
      <c r="C26" s="37" t="str">
        <f>PROPER(Base_Original!B26)</f>
        <v>Beric Seaworth</v>
      </c>
      <c r="D26" s="38" t="s">
        <v>94</v>
      </c>
      <c r="E26" s="39" t="str">
        <f>IF($D26="","Vazio",IF(LEN(SUBSTITUTE(SUBSTITUTE($D26&amp;"",".",""),"-",""))&lt;&gt;11,"Inválido","OK"))</f>
        <v>OK</v>
      </c>
      <c r="F26" s="39" t="str">
        <f>IF($D26="","Vazio",IF(COUNTIF($D$2:$D$369,$D26)&gt;1,"Duplicado","Único"))</f>
        <v>Único</v>
      </c>
      <c r="G26" s="40" t="str">
        <f>IF(TRIM(Base_Original!D26)="","",SUBSTITUTE(TRIM(Base_Original!D26),"anos",""))</f>
        <v>72</v>
      </c>
      <c r="H26" s="50">
        <f>IF($J26="","Vazio",DATEDIF($J26,DATE(2026,9,10),"Y"))</f>
        <v>72</v>
      </c>
      <c r="I2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6" s="33">
        <v>19800</v>
      </c>
      <c r="K26" s="42" t="s">
        <v>25</v>
      </c>
      <c r="L26" s="42" t="str">
        <f>PROPER(Base_Original!G26)</f>
        <v>Terras Fluviais</v>
      </c>
      <c r="M26" s="43">
        <v>24300</v>
      </c>
      <c r="N26" s="43">
        <f>IF(ISNUMBER(Base_Original!I26),Base_Original!I26,IF(RIGHT(Base_Original!I26,7)=" moedas",VALUE(LEFT(Base_Original!I26,LEN(Base_Original!I26)-7)),Base_Original!I26))</f>
        <v>13500</v>
      </c>
      <c r="O26" s="44" t="str">
        <f>IF(AND($N26&gt;50000,$Q26="Sim"),"Negada","Aprovada")</f>
        <v>Aprovada</v>
      </c>
      <c r="P26" s="45">
        <f>IF(AND($T26="Negada",$O26="Negada"),0,IF($B26="Ativo",$U26*8%,"0"))</f>
        <v>1160</v>
      </c>
      <c r="Q26" s="46" t="str">
        <f>IF(OR(Base_Original!J26="Sim",Base_Original!J26="sim",Base_Original!J26="SIM"),"Sim",IF(OR(Base_Original!J26="Não",Base_Original!J26="não",Base_Original!J26="NÃO",Base_Original!J26="Nao"),"Não",IF(Base_Original!J26="","vazio",Base_Original!J26)))</f>
        <v>Não</v>
      </c>
      <c r="R26" s="46">
        <f>IF(ISNUMBER(Base_Original!K26),Base_Original!K26,IF(RIGHT(Base_Original!K26,9)=" batalhas",VALUE(LEFT(Base_Original!K26,LEN(Base_Original!K26)-9)),Base_Original!K26))</f>
        <v>33</v>
      </c>
      <c r="S26" s="42" t="str">
        <f>IF($R26="vazio","vazio",IF($R26&lt;=10,"Baixo",IF($R26&lt;=25,"Médio","Alto")))</f>
        <v>Alto</v>
      </c>
      <c r="T26" s="42" t="str">
        <f>IF(AND($S26="Alto",$Q26="Sim"),"Negada","Aprovada")</f>
        <v>Aprovada</v>
      </c>
      <c r="U26" s="43">
        <v>14500</v>
      </c>
    </row>
    <row r="27" spans="1:21">
      <c r="A27" s="47" t="s">
        <v>879</v>
      </c>
      <c r="B27" s="37" t="str">
        <f>IF(Base_Original!A27="","vazio",IF(Base_Original!A27="ATIVO","Ativo",IF(Base_Original!A27="INATIVO","Inativo",Base_Original!A27)))</f>
        <v>Inativo</v>
      </c>
      <c r="C27" s="37" t="str">
        <f>PROPER(Base_Original!B27)</f>
        <v>Beric Tallhart</v>
      </c>
      <c r="D27" s="38" t="s">
        <v>96</v>
      </c>
      <c r="E27" s="39" t="str">
        <f>IF($D27="","Vazio",IF(LEN(SUBSTITUTE(SUBSTITUTE($D27&amp;"",".",""),"-",""))&lt;&gt;11,"Inválido","OK"))</f>
        <v>OK</v>
      </c>
      <c r="F27" s="39" t="str">
        <f>IF($D27="","Vazio",IF(COUNTIF($D$2:$D$369,$D27)&gt;1,"Duplicado","Único"))</f>
        <v>Único</v>
      </c>
      <c r="G27" s="40" t="str">
        <f>IF(TRIM(Base_Original!D27)="","",SUBSTITUTE(TRIM(Base_Original!D27),"anos",""))</f>
        <v>44</v>
      </c>
      <c r="H27" s="50">
        <f>IF($J27="","Vazio",DATEDIF($J27,DATE(2026,9,10),"Y"))</f>
        <v>44</v>
      </c>
      <c r="I2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7" s="33">
        <v>29948</v>
      </c>
      <c r="K27" s="42" t="s">
        <v>34</v>
      </c>
      <c r="L27" s="42" t="str">
        <f>PROPER(Base_Original!G27)</f>
        <v>Dorne</v>
      </c>
      <c r="M27" s="43" t="s">
        <v>880</v>
      </c>
      <c r="N27" s="43">
        <f>IF(ISNUMBER(Base_Original!I27),Base_Original!I27,IF(RIGHT(Base_Original!I27,7)=" moedas",VALUE(LEFT(Base_Original!I27,LEN(Base_Original!I27)-7)),Base_Original!I27))</f>
        <v>0</v>
      </c>
      <c r="O27" s="44" t="str">
        <f>IF(AND($N27&gt;50000,$Q27="Sim"),"Negada","Aprovada")</f>
        <v>Aprovada</v>
      </c>
      <c r="P27" s="45" t="str">
        <f>IF(AND($T27="Negada",$O27="Negada"),0,IF($B27="Ativo",$U27*8%,"0"))</f>
        <v>0</v>
      </c>
      <c r="Q27" s="46" t="str">
        <f>IF(OR(Base_Original!J27="Sim",Base_Original!J27="sim",Base_Original!J27="SIM"),"Sim",IF(OR(Base_Original!J27="Não",Base_Original!J27="não",Base_Original!J27="NÃO",Base_Original!J27="Nao"),"Não",IF(Base_Original!J27="","vazio",Base_Original!J27)))</f>
        <v>Não</v>
      </c>
      <c r="R27" s="46">
        <f>IF(ISNUMBER(Base_Original!K27),Base_Original!K27,IF(RIGHT(Base_Original!K27,9)=" batalhas",VALUE(LEFT(Base_Original!K27,LEN(Base_Original!K27)-9)),Base_Original!K27))</f>
        <v>4</v>
      </c>
      <c r="S27" s="42" t="str">
        <f>IF($R27="vazio","vazio",IF($R27&lt;=10,"Baixo",IF($R27&lt;=25,"Médio","Alto")))</f>
        <v>Baixo</v>
      </c>
      <c r="T27" s="42" t="str">
        <f>IF(AND($S27="Alto",$Q27="Sim"),"Negada","Aprovada")</f>
        <v>Aprovada</v>
      </c>
      <c r="U27" s="43">
        <v>80000</v>
      </c>
    </row>
    <row r="28" spans="1:21">
      <c r="A28" s="47" t="s">
        <v>881</v>
      </c>
      <c r="B28" s="37" t="str">
        <f>IF(Base_Original!A28="","vazio",IF(Base_Original!A28="ATIVO","Ativo",IF(Base_Original!A28="INATIVO","Inativo",Base_Original!A28)))</f>
        <v>Ativo</v>
      </c>
      <c r="C28" s="37" t="str">
        <f>PROPER(Base_Original!B28)</f>
        <v>Beric Tyrell</v>
      </c>
      <c r="D28" s="38" t="s">
        <v>98</v>
      </c>
      <c r="E28" s="39" t="str">
        <f>IF($D28="","Vazio",IF(LEN(SUBSTITUTE(SUBSTITUTE($D28&amp;"",".",""),"-",""))&lt;&gt;11,"Inválido","OK"))</f>
        <v>OK</v>
      </c>
      <c r="F28" s="39" t="str">
        <f>IF($D28="","Vazio",IF(COUNTIF($D$2:$D$369,$D28)&gt;1,"Duplicado","Único"))</f>
        <v>Único</v>
      </c>
      <c r="G28" s="40" t="str">
        <f>IF(TRIM(Base_Original!D28)="","",SUBSTITUTE(TRIM(Base_Original!D28),"anos",""))</f>
        <v>20</v>
      </c>
      <c r="H28" s="50">
        <f>IF($J28="","Vazio",DATEDIF($J28,DATE(2026,9,10),"Y"))</f>
        <v>20</v>
      </c>
      <c r="I2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8" s="33">
        <v>38957</v>
      </c>
      <c r="K28" s="42" t="s">
        <v>99</v>
      </c>
      <c r="L28" s="42" t="str">
        <f>PROPER(Base_Original!G29)</f>
        <v>Campina</v>
      </c>
      <c r="M28" s="43">
        <v>11800</v>
      </c>
      <c r="N28" s="43">
        <f>IF(ISNUMBER(Base_Original!I28),Base_Original!I28,IF(RIGHT(Base_Original!I28,7)=" moedas",VALUE(LEFT(Base_Original!I28,LEN(Base_Original!I28)-7)),Base_Original!I28))</f>
        <v>0</v>
      </c>
      <c r="O28" s="44" t="str">
        <f>IF(AND($N28&gt;50000,$Q28="Sim"),"Negada","Aprovada")</f>
        <v>Aprovada</v>
      </c>
      <c r="P28" s="45">
        <f>IF(AND($T28="Negada",$O28="Negada"),0,IF($B28="Ativo",$U28*8%,"0"))</f>
        <v>4920</v>
      </c>
      <c r="Q28" s="46" t="str">
        <f>IF(OR(Base_Original!J28="Sim",Base_Original!J28="sim",Base_Original!J28="SIM"),"Sim",IF(OR(Base_Original!J28="Não",Base_Original!J28="não",Base_Original!J28="NÃO",Base_Original!J28="Nao"),"Não",IF(Base_Original!J28="","vazio",Base_Original!J28)))</f>
        <v>Não</v>
      </c>
      <c r="R28" s="46">
        <f>IF(ISNUMBER(Base_Original!K28),Base_Original!K28,IF(RIGHT(Base_Original!K28,9)=" batalhas",VALUE(LEFT(Base_Original!K28,LEN(Base_Original!K28)-9)),Base_Original!K28))</f>
        <v>21</v>
      </c>
      <c r="S28" s="42" t="str">
        <f>IF($R28="vazio","vazio",IF($R28&lt;=10,"Baixo",IF($R28&lt;=25,"Médio","Alto")))</f>
        <v>Médio</v>
      </c>
      <c r="T28" s="42" t="str">
        <f>IF(AND($S28="Alto",$Q28="Sim"),"Negada","Aprovada")</f>
        <v>Aprovada</v>
      </c>
      <c r="U28" s="43">
        <v>61500</v>
      </c>
    </row>
    <row r="29" spans="1:21">
      <c r="A29" s="47" t="s">
        <v>882</v>
      </c>
      <c r="B29" s="37" t="str">
        <f>IF(Base_Original!A29="","vazio",IF(Base_Original!A29="ATIVO","Ativo",IF(Base_Original!A29="INATIVO","Inativo",Base_Original!A29)))</f>
        <v>Ativo</v>
      </c>
      <c r="C29" s="37" t="str">
        <f>PROPER(Base_Original!B29)</f>
        <v>Beric Tyrell</v>
      </c>
      <c r="D29" s="38" t="s">
        <v>100</v>
      </c>
      <c r="E29" s="39" t="str">
        <f>IF($D29="","Vazio",IF(LEN(SUBSTITUTE(SUBSTITUTE($D29&amp;"",".",""),"-",""))&lt;&gt;11,"Inválido","OK"))</f>
        <v>OK</v>
      </c>
      <c r="F29" s="39" t="str">
        <f>IF($D29="","Vazio",IF(COUNTIF($D$2:$D$369,$D29)&gt;1,"Duplicado","Único"))</f>
        <v>Único</v>
      </c>
      <c r="G29" s="40" t="str">
        <f>IF(TRIM(Base_Original!D29)="","",SUBSTITUTE(TRIM(Base_Original!D29),"anos",""))</f>
        <v>66</v>
      </c>
      <c r="H29" s="50">
        <f>IF($J29="","Vazio",DATEDIF($J29,DATE(2026,9,10),"Y"))</f>
        <v>66</v>
      </c>
      <c r="I2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9" s="33">
        <v>22151</v>
      </c>
      <c r="K29" s="42" t="s">
        <v>101</v>
      </c>
      <c r="L29" s="42" t="str">
        <f>PROPER(Base_Original!G28)</f>
        <v>Norte</v>
      </c>
      <c r="M29" s="43">
        <v>18200</v>
      </c>
      <c r="N29" s="43" t="s">
        <v>880</v>
      </c>
      <c r="O29" s="44" t="str">
        <f>IF(AND($N29&gt;50000,$Q29="Sim"),"Negada","Aprovada")</f>
        <v>Negada</v>
      </c>
      <c r="P29" s="45">
        <f>IF(AND($T29="Negada",$O29="Negada"),0,IF($B29="Ativo",$U29*8%,"0"))</f>
        <v>5800</v>
      </c>
      <c r="Q29" s="46" t="str">
        <f>IF(OR(Base_Original!J29="Sim",Base_Original!J29="sim",Base_Original!J29="SIM"),"Sim",IF(OR(Base_Original!J29="Não",Base_Original!J29="não",Base_Original!J29="NÃO",Base_Original!J29="Nao"),"Não",IF(Base_Original!J29="","vazio",Base_Original!J29)))</f>
        <v>Sim</v>
      </c>
      <c r="R29" s="46">
        <f>IF(ISNUMBER(Base_Original!K29),Base_Original!K29,IF(RIGHT(Base_Original!K29,9)=" batalhas",VALUE(LEFT(Base_Original!K29,LEN(Base_Original!K29)-9)),Base_Original!K29))</f>
        <v>23</v>
      </c>
      <c r="S29" s="42" t="str">
        <f>IF($R29="vazio","vazio",IF($R29&lt;=10,"Baixo",IF($R29&lt;=25,"Médio","Alto")))</f>
        <v>Médio</v>
      </c>
      <c r="T29" s="42" t="str">
        <f>IF(AND($S29="Alto",$Q29="Sim"),"Negada","Aprovada")</f>
        <v>Aprovada</v>
      </c>
      <c r="U29" s="43">
        <v>72500</v>
      </c>
    </row>
    <row r="30" spans="1:21">
      <c r="A30" s="47" t="s">
        <v>883</v>
      </c>
      <c r="B30" s="37" t="str">
        <f>IF(Base_Original!A30="","vazio",IF(Base_Original!A30="ATIVO","Ativo",IF(Base_Original!A30="INATIVO","Inativo",Base_Original!A30)))</f>
        <v>Ativo</v>
      </c>
      <c r="C30" s="37" t="str">
        <f>PROPER(Base_Original!B30)</f>
        <v>Bran Bolton</v>
      </c>
      <c r="D30" s="38" t="s">
        <v>103</v>
      </c>
      <c r="E30" s="39" t="str">
        <f>IF($D30="","Vazio",IF(LEN(SUBSTITUTE(SUBSTITUTE($D30&amp;"",".",""),"-",""))&lt;&gt;11,"Inválido","OK"))</f>
        <v>OK</v>
      </c>
      <c r="F30" s="39" t="str">
        <f>IF($D30="","Vazio",IF(COUNTIF($D$2:$D$369,$D30)&gt;1,"Duplicado","Único"))</f>
        <v>Único</v>
      </c>
      <c r="G30" s="40" t="str">
        <f>IF(TRIM(Base_Original!D30)="","",SUBSTITUTE(TRIM(Base_Original!D30),"anos",""))</f>
        <v>23</v>
      </c>
      <c r="H30" s="50">
        <f>IF($J30="","Vazio",DATEDIF($J30,DATE(2026,9,10),"Y"))</f>
        <v>23</v>
      </c>
      <c r="I3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0" s="33">
        <v>37785</v>
      </c>
      <c r="K30" s="42" t="s">
        <v>104</v>
      </c>
      <c r="L30" s="42" t="str">
        <f>PROPER(Base_Original!G30)</f>
        <v>Terras Da Coroa</v>
      </c>
      <c r="M30" s="43">
        <v>17900</v>
      </c>
      <c r="N30" s="43">
        <f>IF(ISNUMBER(Base_Original!I30),Base_Original!I30,IF(RIGHT(Base_Original!I30,7)=" moedas",VALUE(LEFT(Base_Original!I30,LEN(Base_Original!I30)-7)),Base_Original!I30))</f>
        <v>28000</v>
      </c>
      <c r="O30" s="44" t="str">
        <f>IF(AND($N30&gt;50000,$Q30="Sim"),"Negada","Aprovada")</f>
        <v>Aprovada</v>
      </c>
      <c r="P30" s="45">
        <f>IF(AND($T30="Negada",$O30="Negada"),0,IF($B30="Ativo",$U30*8%,"0"))</f>
        <v>4200</v>
      </c>
      <c r="Q30" s="46" t="str">
        <f>IF(OR(Base_Original!J30="Sim",Base_Original!J30="sim",Base_Original!J30="SIM"),"Sim",IF(OR(Base_Original!J30="Não",Base_Original!J30="não",Base_Original!J30="NÃO",Base_Original!J30="Nao"),"Não",IF(Base_Original!J30="","vazio",Base_Original!J30)))</f>
        <v>Não</v>
      </c>
      <c r="R30" s="46">
        <f>IF(ISNUMBER(Base_Original!K30),Base_Original!K30,IF(RIGHT(Base_Original!K30,9)=" batalhas",VALUE(LEFT(Base_Original!K30,LEN(Base_Original!K30)-9)),Base_Original!K30))</f>
        <v>41</v>
      </c>
      <c r="S30" s="42" t="str">
        <f>IF($R30="vazio","vazio",IF($R30&lt;=10,"Baixo",IF($R30&lt;=25,"Médio","Alto")))</f>
        <v>Alto</v>
      </c>
      <c r="T30" s="42" t="str">
        <f>IF(AND($S30="Alto",$Q30="Sim"),"Negada","Aprovada")</f>
        <v>Aprovada</v>
      </c>
      <c r="U30" s="43">
        <v>52500</v>
      </c>
    </row>
    <row r="31" spans="1:21">
      <c r="A31" s="47" t="s">
        <v>884</v>
      </c>
      <c r="B31" s="37" t="str">
        <f>IF(Base_Original!A31="","vazio",IF(Base_Original!A31="ATIVO","Ativo",IF(Base_Original!A31="INATIVO","Inativo",Base_Original!A31)))</f>
        <v>Ativo</v>
      </c>
      <c r="C31" s="37" t="str">
        <f>PROPER(Base_Original!B31)</f>
        <v>Bran Dayne</v>
      </c>
      <c r="D31" s="38" t="s">
        <v>107</v>
      </c>
      <c r="E31" s="39" t="str">
        <f>IF($D31="","Vazio",IF(LEN(SUBSTITUTE(SUBSTITUTE($D31&amp;"",".",""),"-",""))&lt;&gt;11,"Inválido","OK"))</f>
        <v>OK</v>
      </c>
      <c r="F31" s="39" t="str">
        <f>IF($D31="","Vazio",IF(COUNTIF($D$2:$D$369,$D31)&gt;1,"Duplicado","Único"))</f>
        <v>Único</v>
      </c>
      <c r="G31" s="40" t="str">
        <f>IF(TRIM(Base_Original!D31)="","",SUBSTITUTE(TRIM(Base_Original!D31),"anos",""))</f>
        <v>48</v>
      </c>
      <c r="H31" s="50">
        <f>IF($J31="","Vazio",DATEDIF($J31,DATE(2026,9,10),"Y"))</f>
        <v>48</v>
      </c>
      <c r="I3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1" s="33">
        <v>28430</v>
      </c>
      <c r="K31" s="42" t="s">
        <v>44</v>
      </c>
      <c r="L31" s="42" t="str">
        <f>PROPER(Base_Original!G31)</f>
        <v>Ilhas De Ferro</v>
      </c>
      <c r="M31" s="43">
        <v>4500</v>
      </c>
      <c r="N31" s="43">
        <f>IF(ISNUMBER(Base_Original!I31),Base_Original!I31,IF(RIGHT(Base_Original!I31,7)=" moedas",VALUE(LEFT(Base_Original!I31,LEN(Base_Original!I31)-7)),Base_Original!I31))</f>
        <v>0</v>
      </c>
      <c r="O31" s="44" t="str">
        <f>IF(AND($N31&gt;50000,$Q31="Sim"),"Negada","Aprovada")</f>
        <v>Aprovada</v>
      </c>
      <c r="P31" s="45">
        <f>IF(AND($T31="Negada",$O31="Negada"),0,IF($B31="Ativo",$U31*8%,"0"))</f>
        <v>3880</v>
      </c>
      <c r="Q31" s="46" t="str">
        <f>IF(OR(Base_Original!J31="Sim",Base_Original!J31="sim",Base_Original!J31="SIM"),"Sim",IF(OR(Base_Original!J31="Não",Base_Original!J31="não",Base_Original!J31="NÃO",Base_Original!J31="Nao"),"Não",IF(Base_Original!J31="","vazio",Base_Original!J31)))</f>
        <v>Não</v>
      </c>
      <c r="R31" s="46">
        <f>IF(ISNUMBER(Base_Original!K31),Base_Original!K31,IF(RIGHT(Base_Original!K31,9)=" batalhas",VALUE(LEFT(Base_Original!K31,LEN(Base_Original!K31)-9)),Base_Original!K31))</f>
        <v>3</v>
      </c>
      <c r="S31" s="42" t="str">
        <f>IF($R31="vazio","vazio",IF($R31&lt;=10,"Baixo",IF($R31&lt;=25,"Médio","Alto")))</f>
        <v>Baixo</v>
      </c>
      <c r="T31" s="42" t="str">
        <f>IF(AND($S31="Alto",$Q31="Sim"),"Negada","Aprovada")</f>
        <v>Aprovada</v>
      </c>
      <c r="U31" s="43">
        <v>48500</v>
      </c>
    </row>
    <row r="32" spans="1:21">
      <c r="A32" s="47" t="s">
        <v>885</v>
      </c>
      <c r="B32" s="37" t="str">
        <f>IF(Base_Original!A32="","vazio",IF(Base_Original!A32="ATIVO","Ativo",IF(Base_Original!A32="INATIVO","Inativo",Base_Original!A32)))</f>
        <v>Ativo</v>
      </c>
      <c r="C32" s="37" t="str">
        <f>PROPER(Base_Original!B32)</f>
        <v>Bran Dondarrion</v>
      </c>
      <c r="D32" s="38">
        <v>4900</v>
      </c>
      <c r="E32" s="39" t="str">
        <f>IF($D32="","Vazio",IF(LEN(SUBSTITUTE(SUBSTITUTE($D32&amp;"",".",""),"-",""))&lt;&gt;11,"Inválido","OK"))</f>
        <v>Inválido</v>
      </c>
      <c r="F32" s="39" t="str">
        <f>IF($D32="","Vazio",IF(COUNTIF($D$2:$D$369,$D32)&gt;1,"Duplicado","Único"))</f>
        <v>Único</v>
      </c>
      <c r="G32" s="40" t="str">
        <f>IF(TRIM(Base_Original!D32)="","",SUBSTITUTE(TRIM(Base_Original!D32),"anos",""))</f>
        <v>18</v>
      </c>
      <c r="H32" s="50">
        <f>IF($J32="","Vazio",DATEDIF($J32,DATE(2026,9,10),"Y"))</f>
        <v>18</v>
      </c>
      <c r="I3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2" s="33">
        <v>39369</v>
      </c>
      <c r="K32" s="42" t="s">
        <v>30</v>
      </c>
      <c r="L32" s="42" t="str">
        <f>PROPER(Base_Original!G32)</f>
        <v>Essos</v>
      </c>
      <c r="M32" s="43">
        <v>18500</v>
      </c>
      <c r="N32" s="43">
        <f>IF(ISNUMBER(Base_Original!I32),Base_Original!I32,IF(RIGHT(Base_Original!I32,7)=" moedas",VALUE(LEFT(Base_Original!I32,LEN(Base_Original!I32)-7)),Base_Original!I32))</f>
        <v>74500</v>
      </c>
      <c r="O32" s="44" t="str">
        <f>IF(AND($N32&gt;50000,$Q32="Sim"),"Negada","Aprovada")</f>
        <v>Negada</v>
      </c>
      <c r="P32" s="45">
        <f>IF(AND($T32="Negada",$O32="Negada"),0,IF($B32="Ativo",$U32*8%,"0"))</f>
        <v>3640</v>
      </c>
      <c r="Q32" s="46" t="str">
        <f>IF(OR(Base_Original!J32="Sim",Base_Original!J32="sim",Base_Original!J32="SIM"),"Sim",IF(OR(Base_Original!J32="Não",Base_Original!J32="não",Base_Original!J32="NÃO",Base_Original!J32="Nao"),"Não",IF(Base_Original!J32="","vazio",Base_Original!J32)))</f>
        <v>Sim</v>
      </c>
      <c r="R32" s="46">
        <f>IF(ISNUMBER(Base_Original!K32),Base_Original!K32,IF(RIGHT(Base_Original!K32,9)=" batalhas",VALUE(LEFT(Base_Original!K32,LEN(Base_Original!K32)-9)),Base_Original!K32))</f>
        <v>20</v>
      </c>
      <c r="S32" s="42" t="str">
        <f>IF($R32="vazio","vazio",IF($R32&lt;=10,"Baixo",IF($R32&lt;=25,"Médio","Alto")))</f>
        <v>Médio</v>
      </c>
      <c r="T32" s="42" t="str">
        <f>IF(AND($S32="Alto",$Q32="Sim"),"Negada","Aprovada")</f>
        <v>Aprovada</v>
      </c>
      <c r="U32" s="43">
        <v>45500</v>
      </c>
    </row>
    <row r="33" spans="1:21">
      <c r="A33" s="47" t="s">
        <v>886</v>
      </c>
      <c r="B33" s="37" t="str">
        <f>IF(Base_Original!A33="","vazio",IF(Base_Original!A33="ATIVO","Ativo",IF(Base_Original!A33="INATIVO","Inativo",Base_Original!A33)))</f>
        <v>Ativo</v>
      </c>
      <c r="C33" s="37" t="str">
        <f>PROPER(Base_Original!B33)</f>
        <v>Bran Florent</v>
      </c>
      <c r="D33" s="38" t="s">
        <v>112</v>
      </c>
      <c r="E33" s="39" t="str">
        <f>IF($D33="","Vazio",IF(LEN(SUBSTITUTE(SUBSTITUTE($D33&amp;"",".",""),"-",""))&lt;&gt;11,"Inválido","OK"))</f>
        <v>OK</v>
      </c>
      <c r="F33" s="39" t="str">
        <f>IF($D33="","Vazio",IF(COUNTIF($D$2:$D$369,$D33)&gt;1,"Duplicado","Único"))</f>
        <v>Único</v>
      </c>
      <c r="G33" s="40" t="str">
        <f>IF(TRIM(Base_Original!D33)="","",SUBSTITUTE(TRIM(Base_Original!D33),"anos",""))</f>
        <v>62</v>
      </c>
      <c r="H33" s="50">
        <f>IF($J33="","Vazio",DATEDIF($J33,DATE(2026,9,10),"Y"))</f>
        <v>62</v>
      </c>
      <c r="I3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3" s="33">
        <v>23488</v>
      </c>
      <c r="K33" s="42" t="s">
        <v>51</v>
      </c>
      <c r="L33" s="42" t="str">
        <f>PROPER(Base_Original!G33)</f>
        <v>Vale</v>
      </c>
      <c r="M33" s="43" t="s">
        <v>113</v>
      </c>
      <c r="N33" s="43" t="str">
        <f>IF(ISNUMBER(Base_Original!I33),Base_Original!I33,IF(RIGHT(Base_Original!I33,7)=" moedas",VALUE(LEFT(Base_Original!I33,LEN(Base_Original!I33)-7)),Base_Original!I33))</f>
        <v>N/A</v>
      </c>
      <c r="O33" s="44" t="str">
        <f>IF(AND($N33&gt;50000,$Q33="Sim"),"Negada","Aprovada")</f>
        <v>Aprovada</v>
      </c>
      <c r="P33" s="45">
        <f>IF(AND($T33="Negada",$O33="Negada"),0,IF($B33="Ativo",$U33*8%,"0"))</f>
        <v>5760</v>
      </c>
      <c r="Q33" s="46" t="str">
        <f>IF(OR(Base_Original!J33="Sim",Base_Original!J33="sim",Base_Original!J33="SIM"),"Sim",IF(OR(Base_Original!J33="Não",Base_Original!J33="não",Base_Original!J33="NÃO",Base_Original!J33="Nao"),"Não",IF(Base_Original!J33="","vazio",Base_Original!J33)))</f>
        <v>Não</v>
      </c>
      <c r="R33" s="46">
        <f>IF(ISNUMBER(Base_Original!K33),Base_Original!K33,IF(RIGHT(Base_Original!K33,9)=" batalhas",VALUE(LEFT(Base_Original!K33,LEN(Base_Original!K33)-9)),Base_Original!K33))</f>
        <v>38</v>
      </c>
      <c r="S33" s="42" t="str">
        <f>IF($R33="vazio","vazio",IF($R33&lt;=10,"Baixo",IF($R33&lt;=25,"Médio","Alto")))</f>
        <v>Alto</v>
      </c>
      <c r="T33" s="42" t="str">
        <f>IF(AND($S33="Alto",$Q33="Sim"),"Negada","Aprovada")</f>
        <v>Aprovada</v>
      </c>
      <c r="U33" s="43">
        <v>72000</v>
      </c>
    </row>
    <row r="34" spans="1:21">
      <c r="A34" s="47" t="s">
        <v>887</v>
      </c>
      <c r="B34" s="37" t="str">
        <f>IF(Base_Original!A34="","vazio",IF(Base_Original!A34="ATIVO","Ativo",IF(Base_Original!A34="INATIVO","Inativo",Base_Original!A34)))</f>
        <v>Ativo</v>
      </c>
      <c r="C34" s="37" t="str">
        <f>PROPER(Base_Original!B34)</f>
        <v>Bran Frey</v>
      </c>
      <c r="D34" s="38" t="s">
        <v>116</v>
      </c>
      <c r="E34" s="39" t="str">
        <f>IF($D34="","Vazio",IF(LEN(SUBSTITUTE(SUBSTITUTE($D34&amp;"",".",""),"-",""))&lt;&gt;11,"Inválido","OK"))</f>
        <v>OK</v>
      </c>
      <c r="F34" s="39" t="str">
        <f>IF($D34="","Vazio",IF(COUNTIF($D$2:$D$369,$D34)&gt;1,"Duplicado","Único"))</f>
        <v>Único</v>
      </c>
      <c r="G34" s="40" t="str">
        <f>IF(TRIM(Base_Original!D34)="","",SUBSTITUTE(TRIM(Base_Original!D34),"anos",""))</f>
        <v>39</v>
      </c>
      <c r="H34" s="50">
        <f>IF($J34="","Vazio",DATEDIF($J34,DATE(2026,9,10),"Y"))</f>
        <v>39</v>
      </c>
      <c r="I3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4" s="33">
        <v>31968</v>
      </c>
      <c r="K34" s="42" t="s">
        <v>117</v>
      </c>
      <c r="L34" s="42" t="str">
        <f>PROPER(Base_Original!G34)</f>
        <v/>
      </c>
      <c r="M34" s="43">
        <v>8000</v>
      </c>
      <c r="N34" s="43">
        <f>IF(ISNUMBER(Base_Original!I34),Base_Original!I34,IF(RIGHT(Base_Original!I34,7)=" moedas",VALUE(LEFT(Base_Original!I34,LEN(Base_Original!I34)-7)),Base_Original!I34))</f>
        <v>69000</v>
      </c>
      <c r="O34" s="44" t="str">
        <f>IF(AND($N34&gt;50000,$Q34="Sim"),"Negada","Aprovada")</f>
        <v>Aprovada</v>
      </c>
      <c r="P34" s="45">
        <f>IF(AND($T34="Negada",$O34="Negada"),0,IF($B34="Ativo",$U34*8%,"0"))</f>
        <v>3160</v>
      </c>
      <c r="Q34" s="46" t="str">
        <f>IF(OR(Base_Original!J34="Sim",Base_Original!J34="sim",Base_Original!J34="SIM"),"Sim",IF(OR(Base_Original!J34="Não",Base_Original!J34="não",Base_Original!J34="NÃO",Base_Original!J34="Nao"),"Não",IF(Base_Original!J34="","vazio",Base_Original!J34)))</f>
        <v>Não</v>
      </c>
      <c r="R34" s="46">
        <f>IF(ISNUMBER(Base_Original!K34),Base_Original!K34,IF(RIGHT(Base_Original!K34,9)=" batalhas",VALUE(LEFT(Base_Original!K34,LEN(Base_Original!K34)-9)),Base_Original!K34))</f>
        <v>15</v>
      </c>
      <c r="S34" s="42" t="str">
        <f>IF($R34="vazio","vazio",IF($R34&lt;=10,"Baixo",IF($R34&lt;=25,"Médio","Alto")))</f>
        <v>Médio</v>
      </c>
      <c r="T34" s="42" t="str">
        <f>IF(AND($S34="Alto",$Q34="Sim"),"Negada","Aprovada")</f>
        <v>Aprovada</v>
      </c>
      <c r="U34" s="43">
        <v>39500</v>
      </c>
    </row>
    <row r="35" spans="1:21">
      <c r="A35" s="47" t="s">
        <v>888</v>
      </c>
      <c r="B35" s="37" t="str">
        <f>IF(Base_Original!A35="","vazio",IF(Base_Original!A35="ATIVO","Ativo",IF(Base_Original!A35="INATIVO","Inativo",Base_Original!A35)))</f>
        <v>Inativo</v>
      </c>
      <c r="C35" s="37" t="str">
        <f>PROPER(Base_Original!B35)</f>
        <v>Bran Karstark</v>
      </c>
      <c r="D35" s="38" t="s">
        <v>119</v>
      </c>
      <c r="E35" s="39" t="str">
        <f>IF($D35="","Vazio",IF(LEN(SUBSTITUTE(SUBSTITUTE($D35&amp;"",".",""),"-",""))&lt;&gt;11,"Inválido","OK"))</f>
        <v>OK</v>
      </c>
      <c r="F35" s="39" t="str">
        <f>IF($D35="","Vazio",IF(COUNTIF($D$2:$D$369,$D35)&gt;1,"Duplicado","Único"))</f>
        <v>Único</v>
      </c>
      <c r="G35" s="40" t="str">
        <f>IF(TRIM(Base_Original!D35)="","",SUBSTITUTE(TRIM(Base_Original!D35),"anos",""))</f>
        <v>21</v>
      </c>
      <c r="H35" s="50">
        <f>IF($J35="","Vazio",DATEDIF($J35,DATE(2026,9,10),"Y"))</f>
        <v>21</v>
      </c>
      <c r="I3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5" s="33">
        <v>38328</v>
      </c>
      <c r="K35" s="42" t="s">
        <v>44</v>
      </c>
      <c r="L35" s="42" t="str">
        <f>PROPER(Base_Original!G35)</f>
        <v>Ilhas De Ferro</v>
      </c>
      <c r="M35" s="43">
        <v>4400</v>
      </c>
      <c r="N35" s="43">
        <f>IF(ISNUMBER(Base_Original!I35),Base_Original!I35,IF(RIGHT(Base_Original!I35,7)=" moedas",VALUE(LEFT(Base_Original!I35,LEN(Base_Original!I35)-7)),Base_Original!I35))</f>
        <v>23500</v>
      </c>
      <c r="O35" s="44" t="str">
        <f>IF(AND($N35&gt;50000,$Q35="Sim"),"Negada","Aprovada")</f>
        <v>Aprovada</v>
      </c>
      <c r="P35" s="45" t="str">
        <f>IF(AND($T35="Negada",$O35="Negada"),0,IF($B35="Ativo",$U35*8%,"0"))</f>
        <v>0</v>
      </c>
      <c r="Q35" s="46" t="str">
        <f>IF(OR(Base_Original!J35="Sim",Base_Original!J35="sim",Base_Original!J35="SIM"),"Sim",IF(OR(Base_Original!J35="Não",Base_Original!J35="não",Base_Original!J35="NÃO",Base_Original!J35="Nao"),"Não",IF(Base_Original!J35="","vazio",Base_Original!J35)))</f>
        <v>Sim</v>
      </c>
      <c r="R35" s="46">
        <f>IF(ISNUMBER(Base_Original!K35),Base_Original!K35,IF(RIGHT(Base_Original!K35,9)=" batalhas",VALUE(LEFT(Base_Original!K35,LEN(Base_Original!K35)-9)),Base_Original!K35))</f>
        <v>31</v>
      </c>
      <c r="S35" s="42" t="str">
        <f>IF($R35="vazio","vazio",IF($R35&lt;=10,"Baixo",IF($R35&lt;=25,"Médio","Alto")))</f>
        <v>Alto</v>
      </c>
      <c r="T35" s="42" t="str">
        <f>IF(AND($S35="Alto",$Q35="Sim"),"Negada","Aprovada")</f>
        <v>Negada</v>
      </c>
      <c r="U35" s="43">
        <v>91000</v>
      </c>
    </row>
    <row r="36" spans="1:21">
      <c r="A36" s="47" t="s">
        <v>889</v>
      </c>
      <c r="B36" s="37" t="str">
        <f>IF(Base_Original!A36="","vazio",IF(Base_Original!A36="ATIVO","Ativo",IF(Base_Original!A36="INATIVO","Inativo",Base_Original!A36)))</f>
        <v>Ativo</v>
      </c>
      <c r="C36" s="37" t="str">
        <f>PROPER(Base_Original!B36)</f>
        <v>Bran Tarly</v>
      </c>
      <c r="D36" s="38" t="s">
        <v>121</v>
      </c>
      <c r="E36" s="39" t="str">
        <f>IF($D36="","Vazio",IF(LEN(SUBSTITUTE(SUBSTITUTE($D36&amp;"",".",""),"-",""))&lt;&gt;11,"Inválido","OK"))</f>
        <v>OK</v>
      </c>
      <c r="F36" s="39" t="str">
        <f>IF($D36="","Vazio",IF(COUNTIF($D$2:$D$369,$D36)&gt;1,"Duplicado","Único"))</f>
        <v>Único</v>
      </c>
      <c r="G36" s="40" t="str">
        <f>IF(TRIM(Base_Original!D36)="","",SUBSTITUTE(TRIM(Base_Original!D36),"anos",""))</f>
        <v>53</v>
      </c>
      <c r="H36" s="50">
        <f>IF($J36="","Vazio",DATEDIF($J36,DATE(2026,9,10),"Y"))</f>
        <v>53</v>
      </c>
      <c r="I3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6" s="33">
        <v>26790</v>
      </c>
      <c r="K36" s="42" t="s">
        <v>62</v>
      </c>
      <c r="L36" s="42" t="str">
        <f>PROPER(Base_Original!G36)</f>
        <v>Essos</v>
      </c>
      <c r="M36" s="43" t="s">
        <v>113</v>
      </c>
      <c r="N36" s="43">
        <f>IF(ISNUMBER(Base_Original!I36),Base_Original!I36,IF(RIGHT(Base_Original!I36,7)=" moedas",VALUE(LEFT(Base_Original!I36,LEN(Base_Original!I36)-7)),Base_Original!I36))</f>
        <v>21500</v>
      </c>
      <c r="O36" s="44" t="str">
        <f>IF(AND($N36&gt;50000,$Q36="Sim"),"Negada","Aprovada")</f>
        <v>Aprovada</v>
      </c>
      <c r="P36" s="45">
        <f>IF(AND($T36="Negada",$O36="Negada"),0,IF($B36="Ativo",$U36*8%,"0"))</f>
        <v>280</v>
      </c>
      <c r="Q36" s="46" t="str">
        <f>IF(OR(Base_Original!J36="Sim",Base_Original!J36="sim",Base_Original!J36="SIM"),"Sim",IF(OR(Base_Original!J36="Não",Base_Original!J36="não",Base_Original!J36="NÃO",Base_Original!J36="Nao"),"Não",IF(Base_Original!J36="","vazio",Base_Original!J36)))</f>
        <v>Sim</v>
      </c>
      <c r="R36" s="46">
        <f>IF(ISNUMBER(Base_Original!K36),Base_Original!K36,IF(RIGHT(Base_Original!K36,9)=" batalhas",VALUE(LEFT(Base_Original!K36,LEN(Base_Original!K36)-9)),Base_Original!K36))</f>
        <v>44</v>
      </c>
      <c r="S36" s="42" t="str">
        <f>IF($R36="vazio","vazio",IF($R36&lt;=10,"Baixo",IF($R36&lt;=25,"Médio","Alto")))</f>
        <v>Alto</v>
      </c>
      <c r="T36" s="42" t="str">
        <f>IF(AND($S36="Alto",$Q36="Sim"),"Negada","Aprovada")</f>
        <v>Negada</v>
      </c>
      <c r="U36" s="43">
        <v>3500</v>
      </c>
    </row>
    <row r="37" spans="1:21">
      <c r="A37" s="47" t="s">
        <v>890</v>
      </c>
      <c r="B37" s="37" t="str">
        <f>IF(Base_Original!A37="","vazio",IF(Base_Original!A37="ATIVO","Ativo",IF(Base_Original!A37="INATIVO","Inativo",Base_Original!A37)))</f>
        <v>Ativo</v>
      </c>
      <c r="C37" s="37" t="str">
        <f>PROPER(Base_Original!B37)</f>
        <v>Bran Umber</v>
      </c>
      <c r="D37" s="38">
        <v>13200</v>
      </c>
      <c r="E37" s="39" t="str">
        <f>IF($D37="","Vazio",IF(LEN(SUBSTITUTE(SUBSTITUTE($D37&amp;"",".",""),"-",""))&lt;&gt;11,"Inválido","OK"))</f>
        <v>Inválido</v>
      </c>
      <c r="F37" s="39" t="str">
        <f>IF($D37="","Vazio",IF(COUNTIF($D$2:$D$369,$D37)&gt;1,"Duplicado","Único"))</f>
        <v>Único</v>
      </c>
      <c r="G37" s="40" t="str">
        <f>IF(TRIM(Base_Original!D37)="","",SUBSTITUTE(TRIM(Base_Original!D37),"anos",""))</f>
        <v>29</v>
      </c>
      <c r="H37" s="50">
        <f>IF($J37="","Vazio",DATEDIF($J37,DATE(2026,9,10),"Y"))</f>
        <v>29</v>
      </c>
      <c r="I3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7" s="33">
        <v>35334</v>
      </c>
      <c r="K37" s="42" t="s">
        <v>44</v>
      </c>
      <c r="L37" s="42" t="str">
        <f>PROPER(Base_Original!G37)</f>
        <v>Ilhas De Ferro</v>
      </c>
      <c r="M37" s="43">
        <v>19500</v>
      </c>
      <c r="N37" s="43">
        <f>IF(ISNUMBER(Base_Original!I37),Base_Original!I37,IF(RIGHT(Base_Original!I37,7)=" moedas",VALUE(LEFT(Base_Original!I37,LEN(Base_Original!I37)-7)),Base_Original!I37))</f>
        <v>57000</v>
      </c>
      <c r="O37" s="44" t="str">
        <f>IF(AND($N37&gt;50000,$Q37="Sim"),"Negada","Aprovada")</f>
        <v>Aprovada</v>
      </c>
      <c r="P37" s="45">
        <f>IF(AND($T37="Negada",$O37="Negada"),0,IF($B37="Ativo",$U37*8%,"0"))</f>
        <v>1640</v>
      </c>
      <c r="Q37" s="46" t="str">
        <f>IF(OR(Base_Original!J37="Sim",Base_Original!J37="sim",Base_Original!J37="SIM"),"Sim",IF(OR(Base_Original!J37="Não",Base_Original!J37="não",Base_Original!J37="NÃO",Base_Original!J37="Nao"),"Não",IF(Base_Original!J37="","vazio",Base_Original!J37)))</f>
        <v>Não</v>
      </c>
      <c r="R37" s="46">
        <f>IF(ISNUMBER(Base_Original!K37),Base_Original!K37,IF(RIGHT(Base_Original!K37,9)=" batalhas",VALUE(LEFT(Base_Original!K37,LEN(Base_Original!K37)-9)),Base_Original!K37))</f>
        <v>12</v>
      </c>
      <c r="S37" s="42" t="str">
        <f>IF($R37="vazio","vazio",IF($R37&lt;=10,"Baixo",IF($R37&lt;=25,"Médio","Alto")))</f>
        <v>Médio</v>
      </c>
      <c r="T37" s="42" t="str">
        <f>IF(AND($S37="Alto",$Q37="Sim"),"Negada","Aprovada")</f>
        <v>Aprovada</v>
      </c>
      <c r="U37" s="43">
        <v>20500</v>
      </c>
    </row>
    <row r="38" spans="1:21">
      <c r="A38" s="47" t="s">
        <v>891</v>
      </c>
      <c r="B38" s="37" t="str">
        <f>IF(Base_Original!A38="","vazio",IF(Base_Original!A38="ATIVO","Ativo",IF(Base_Original!A38="INATIVO","Inativo",Base_Original!A38)))</f>
        <v>Ativo</v>
      </c>
      <c r="C38" s="37" t="str">
        <f>PROPER(Base_Original!B38)</f>
        <v>Bran Yronwood</v>
      </c>
      <c r="D38" s="38" t="s">
        <v>124</v>
      </c>
      <c r="E38" s="39" t="str">
        <f>IF($D38="","Vazio",IF(LEN(SUBSTITUTE(SUBSTITUTE($D38&amp;"",".",""),"-",""))&lt;&gt;11,"Inválido","OK"))</f>
        <v>OK</v>
      </c>
      <c r="F38" s="39" t="str">
        <f>IF($D38="","Vazio",IF(COUNTIF($D$2:$D$369,$D38)&gt;1,"Duplicado","Único"))</f>
        <v>Único</v>
      </c>
      <c r="G38" s="40" t="str">
        <f>IF(TRIM(Base_Original!D38)="","",SUBSTITUTE(TRIM(Base_Original!D38),"anos",""))</f>
        <v>42</v>
      </c>
      <c r="H38" s="50">
        <f>IF($J38="","Vazio",DATEDIF($J38,DATE(2026,9,10),"Y"))</f>
        <v>42</v>
      </c>
      <c r="I3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8" s="33">
        <v>30878</v>
      </c>
      <c r="K38" s="42" t="s">
        <v>44</v>
      </c>
      <c r="L38" s="42" t="str">
        <f>PROPER(Base_Original!G38)</f>
        <v>Ilhas De Ferro</v>
      </c>
      <c r="M38" s="43">
        <v>17500</v>
      </c>
      <c r="N38" s="43">
        <f>IF(ISNUMBER(Base_Original!I38),Base_Original!I38,IF(RIGHT(Base_Original!I38,7)=" moedas",VALUE(LEFT(Base_Original!I38,LEN(Base_Original!I38)-7)),Base_Original!I38))</f>
        <v>3500</v>
      </c>
      <c r="O38" s="44" t="str">
        <f>IF(AND($N38&gt;50000,$Q38="Sim"),"Negada","Aprovada")</f>
        <v>Aprovada</v>
      </c>
      <c r="P38" s="45">
        <f>IF(AND($T38="Negada",$O38="Negada"),0,IF($B38="Ativo",$U38*8%,"0"))</f>
        <v>2800</v>
      </c>
      <c r="Q38" s="46" t="str">
        <f>IF(OR(Base_Original!J38="Sim",Base_Original!J38="sim",Base_Original!J38="SIM"),"Sim",IF(OR(Base_Original!J38="Não",Base_Original!J38="não",Base_Original!J38="NÃO",Base_Original!J38="Nao"),"Não",IF(Base_Original!J38="","vazio",Base_Original!J38)))</f>
        <v>Não</v>
      </c>
      <c r="R38" s="46">
        <f>IF(ISNUMBER(Base_Original!K38),Base_Original!K38,IF(RIGHT(Base_Original!K38,9)=" batalhas",VALUE(LEFT(Base_Original!K38,LEN(Base_Original!K38)-9)),Base_Original!K38))</f>
        <v>25</v>
      </c>
      <c r="S38" s="42" t="str">
        <f>IF($R38="vazio","vazio",IF($R38&lt;=10,"Baixo",IF($R38&lt;=25,"Médio","Alto")))</f>
        <v>Médio</v>
      </c>
      <c r="T38" s="42" t="str">
        <f>IF(AND($S38="Alto",$Q38="Sim"),"Negada","Aprovada")</f>
        <v>Aprovada</v>
      </c>
      <c r="U38" s="43">
        <v>35000</v>
      </c>
    </row>
    <row r="39" spans="1:21">
      <c r="A39" s="47" t="s">
        <v>892</v>
      </c>
      <c r="B39" s="37" t="str">
        <f>IF(Base_Original!A39="","vazio",IF(Base_Original!A39="ATIVO","Ativo",IF(Base_Original!A39="INATIVO","Inativo",Base_Original!A39)))</f>
        <v>Ativo</v>
      </c>
      <c r="C39" s="37" t="str">
        <f>PROPER(Base_Original!B39)</f>
        <v>Brienne Dayne</v>
      </c>
      <c r="D39" s="38" t="s">
        <v>127</v>
      </c>
      <c r="E39" s="39" t="str">
        <f>IF($D39="","Vazio",IF(LEN(SUBSTITUTE(SUBSTITUTE($D39&amp;"",".",""),"-",""))&lt;&gt;11,"Inválido","OK"))</f>
        <v>OK</v>
      </c>
      <c r="F39" s="39" t="str">
        <f>IF($D39="","Vazio",IF(COUNTIF($D$2:$D$369,$D39)&gt;1,"Duplicado","Único"))</f>
        <v>Único</v>
      </c>
      <c r="G39" s="40" t="str">
        <f>IF(TRIM(Base_Original!D39)="","",SUBSTITUTE(TRIM(Base_Original!D39),"anos",""))</f>
        <v>62</v>
      </c>
      <c r="H39" s="50">
        <f>IF($J39="","Vazio",DATEDIF($J39,DATE(2026,9,10),"Y"))</f>
        <v>62</v>
      </c>
      <c r="I3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9" s="33">
        <v>23337</v>
      </c>
      <c r="K39" s="42" t="s">
        <v>69</v>
      </c>
      <c r="L39" s="42" t="str">
        <f>PROPER(Base_Original!G39)</f>
        <v>Terras Da Coroa</v>
      </c>
      <c r="M39" s="43">
        <v>11900</v>
      </c>
      <c r="N39" s="43">
        <f>IF(ISNUMBER(Base_Original!I39),Base_Original!I39,IF(RIGHT(Base_Original!I39,7)=" moedas",VALUE(LEFT(Base_Original!I39,LEN(Base_Original!I39)-7)),Base_Original!I39))</f>
        <v>58500</v>
      </c>
      <c r="O39" s="44" t="str">
        <f>IF(AND($N39&gt;50000,$Q39="Sim"),"Negada","Aprovada")</f>
        <v>Aprovada</v>
      </c>
      <c r="P39" s="45">
        <f>IF(AND($T39="Negada",$O39="Negada"),0,IF($B39="Ativo",$U39*8%,"0"))</f>
        <v>3840</v>
      </c>
      <c r="Q39" s="46" t="str">
        <f>IF(OR(Base_Original!J39="Sim",Base_Original!J39="sim",Base_Original!J39="SIM"),"Sim",IF(OR(Base_Original!J39="Não",Base_Original!J39="não",Base_Original!J39="NÃO",Base_Original!J39="Nao"),"Não",IF(Base_Original!J39="","vazio",Base_Original!J39)))</f>
        <v>Não</v>
      </c>
      <c r="R39" s="46">
        <f>IF(ISNUMBER(Base_Original!K39),Base_Original!K39,IF(RIGHT(Base_Original!K39,9)=" batalhas",VALUE(LEFT(Base_Original!K39,LEN(Base_Original!K39)-9)),Base_Original!K39))</f>
        <v>37</v>
      </c>
      <c r="S39" s="42" t="str">
        <f>IF($R39="vazio","vazio",IF($R39&lt;=10,"Baixo",IF($R39&lt;=25,"Médio","Alto")))</f>
        <v>Alto</v>
      </c>
      <c r="T39" s="42" t="str">
        <f>IF(AND($S39="Alto",$Q39="Sim"),"Negada","Aprovada")</f>
        <v>Aprovada</v>
      </c>
      <c r="U39" s="43">
        <v>48000</v>
      </c>
    </row>
    <row r="40" spans="1:21">
      <c r="A40" s="47" t="s">
        <v>893</v>
      </c>
      <c r="B40" s="37" t="str">
        <f>IF(Base_Original!A40="","vazio",IF(Base_Original!A40="ATIVO","Ativo",IF(Base_Original!A40="INATIVO","Inativo",Base_Original!A40)))</f>
        <v>Ativo</v>
      </c>
      <c r="C40" s="37" t="str">
        <f>PROPER(Base_Original!B40)</f>
        <v>Brienne Dondarrion</v>
      </c>
      <c r="D40" s="38" t="s">
        <v>129</v>
      </c>
      <c r="E40" s="39" t="str">
        <f>IF($D40="","Vazio",IF(LEN(SUBSTITUTE(SUBSTITUTE($D40&amp;"",".",""),"-",""))&lt;&gt;11,"Inválido","OK"))</f>
        <v>OK</v>
      </c>
      <c r="F40" s="39" t="str">
        <f>IF($D40="","Vazio",IF(COUNTIF($D$2:$D$369,$D40)&gt;1,"Duplicado","Único"))</f>
        <v>Único</v>
      </c>
      <c r="G40" s="40" t="str">
        <f>IF(TRIM(Base_Original!D40)="","",SUBSTITUTE(TRIM(Base_Original!D40),"anos",""))</f>
        <v>39</v>
      </c>
      <c r="H40" s="50">
        <f>IF($J40="","Vazio",DATEDIF($J40,DATE(2026,9,10),"Y"))</f>
        <v>39</v>
      </c>
      <c r="I4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40" s="33">
        <v>31814</v>
      </c>
      <c r="K40" s="42" t="s">
        <v>75</v>
      </c>
      <c r="L40" s="42" t="str">
        <f>PROPER(Base_Original!G40)</f>
        <v>Norte</v>
      </c>
      <c r="M40" s="43">
        <v>9300</v>
      </c>
      <c r="N40" s="43">
        <f>IF(ISNUMBER(Base_Original!I40),Base_Original!I40,IF(RIGHT(Base_Original!I40,7)=" moedas",VALUE(LEFT(Base_Original!I40,LEN(Base_Original!I40)-7)),Base_Original!I40))</f>
        <v>36500</v>
      </c>
      <c r="O40" s="44" t="str">
        <f>IF(AND($N40&gt;50000,$Q40="Sim"),"Negada","Aprovada")</f>
        <v>Aprovada</v>
      </c>
      <c r="P40" s="45">
        <f>IF(AND($T40="Negada",$O40="Negada"),0,IF($B40="Ativo",$U40*8%,"0"))</f>
        <v>240</v>
      </c>
      <c r="Q40" s="46" t="str">
        <f>IF(OR(Base_Original!J40="Sim",Base_Original!J40="sim",Base_Original!J40="SIM"),"Sim",IF(OR(Base_Original!J40="Não",Base_Original!J40="não",Base_Original!J40="NÃO",Base_Original!J40="Nao"),"Não",IF(Base_Original!J40="","vazio",Base_Original!J40)))</f>
        <v>Não</v>
      </c>
      <c r="R40" s="46" t="s">
        <v>880</v>
      </c>
      <c r="S40" s="42" t="str">
        <f>IF($R40="vazio","vazio",IF($R40&lt;=10,"Baixo",IF($R40&lt;=25,"Médio","Alto")))</f>
        <v>vazio</v>
      </c>
      <c r="T40" s="42" t="str">
        <f>IF(AND($S40="Alto",$Q40="Sim"),"Negada","Aprovada")</f>
        <v>Aprovada</v>
      </c>
      <c r="U40" s="43">
        <v>3000</v>
      </c>
    </row>
    <row r="41" spans="1:21">
      <c r="A41" s="47" t="s">
        <v>894</v>
      </c>
      <c r="B41" s="37" t="str">
        <f>IF(Base_Original!A41="","vazio",IF(Base_Original!A41="ATIVO","Ativo",IF(Base_Original!A41="INATIVO","Inativo",Base_Original!A41)))</f>
        <v>Ativo</v>
      </c>
      <c r="C41" s="37" t="str">
        <f>PROPER(Base_Original!B41)</f>
        <v>Brienne Glover</v>
      </c>
      <c r="D41" s="38" t="s">
        <v>131</v>
      </c>
      <c r="E41" s="39" t="str">
        <f>IF($D41="","Vazio",IF(LEN(SUBSTITUTE(SUBSTITUTE($D41&amp;"",".",""),"-",""))&lt;&gt;11,"Inválido","OK"))</f>
        <v>OK</v>
      </c>
      <c r="F41" s="39" t="str">
        <f>IF($D41="","Vazio",IF(COUNTIF($D$2:$D$369,$D41)&gt;1,"Duplicado","Único"))</f>
        <v>Único</v>
      </c>
      <c r="G41" s="40" t="str">
        <f>IF(TRIM(Base_Original!D41)="","",SUBSTITUTE(TRIM(Base_Original!D41),"anos",""))</f>
        <v>67</v>
      </c>
      <c r="H41" s="50">
        <f>IF($J41="","Vazio",DATEDIF($J41,DATE(2026,9,10),"Y"))</f>
        <v>67</v>
      </c>
      <c r="I4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41" s="33">
        <v>21522</v>
      </c>
      <c r="K41" s="42" t="s">
        <v>37</v>
      </c>
      <c r="L41" s="42" t="str">
        <f>PROPER(Base_Original!G41)</f>
        <v>Terras Da Tempestade</v>
      </c>
      <c r="M41" s="43">
        <v>11300</v>
      </c>
      <c r="N41" s="43">
        <f>IF(ISNUMBER(Base_Original!I41),Base_Original!I41,IF(RIGHT(Base_Original!I41,7)=" moedas",VALUE(LEFT(Base_Original!I41,LEN(Base_Original!I41)-7)),Base_Original!I41))</f>
        <v>49500</v>
      </c>
      <c r="O41" s="44" t="str">
        <f>IF(AND($N41&gt;50000,$Q41="Sim"),"Negada","Aprovada")</f>
        <v>Aprovada</v>
      </c>
      <c r="P41" s="45">
        <f>IF(AND($T41="Negada",$O41="Negada"),0,IF($B41="Ativo",$U41*8%,"0"))</f>
        <v>2760</v>
      </c>
      <c r="Q41" s="46" t="str">
        <f>IF(OR(Base_Original!J41="Sim",Base_Original!J41="sim",Base_Original!J41="SIM"),"Sim",IF(OR(Base_Original!J41="Não",Base_Original!J41="não",Base_Original!J41="NÃO",Base_Original!J41="Nao"),"Não",IF(Base_Original!J41="","vazio",Base_Original!J41)))</f>
        <v>Não</v>
      </c>
      <c r="R41" s="46">
        <f>IF(ISNUMBER(Base_Original!K41),Base_Original!K41,IF(RIGHT(Base_Original!K41,9)=" batalhas",VALUE(LEFT(Base_Original!K41,LEN(Base_Original!K41)-9)),Base_Original!K41))</f>
        <v>12</v>
      </c>
      <c r="S41" s="42" t="str">
        <f>IF($R41="vazio","vazio",IF($R41&lt;=10,"Baixo",IF($R41&lt;=25,"Médio","Alto")))</f>
        <v>Médio</v>
      </c>
      <c r="T41" s="42" t="str">
        <f>IF(AND($S41="Alto",$Q41="Sim"),"Negada","Aprovada")</f>
        <v>Aprovada</v>
      </c>
      <c r="U41" s="43">
        <v>34500</v>
      </c>
    </row>
    <row r="42" spans="1:21">
      <c r="A42" s="47" t="s">
        <v>895</v>
      </c>
      <c r="B42" s="37" t="str">
        <f>IF(Base_Original!A42="","vazio",IF(Base_Original!A42="ATIVO","Ativo",IF(Base_Original!A42="INATIVO","Inativo",Base_Original!A42)))</f>
        <v>Ativo</v>
      </c>
      <c r="C42" s="37" t="str">
        <f>PROPER(Base_Original!B42)</f>
        <v>Brienne Karstark</v>
      </c>
      <c r="D42" s="38" t="s">
        <v>134</v>
      </c>
      <c r="E42" s="39" t="str">
        <f>IF($D42="","Vazio",IF(LEN(SUBSTITUTE(SUBSTITUTE($D42&amp;"",".",""),"-",""))&lt;&gt;11,"Inválido","OK"))</f>
        <v>OK</v>
      </c>
      <c r="F42" s="39" t="str">
        <f>IF($D42="","Vazio",IF(COUNTIF($D$2:$D$369,$D42)&gt;1,"Duplicado","Único"))</f>
        <v>Único</v>
      </c>
      <c r="G42" s="40" t="str">
        <f>IF(TRIM(Base_Original!D42)="","",SUBSTITUTE(TRIM(Base_Original!D42),"anos",""))</f>
        <v>23</v>
      </c>
      <c r="H42" s="50">
        <f>IF($J42="","Vazio",DATEDIF($J42,DATE(2026,9,10),"Y"))</f>
        <v>23</v>
      </c>
      <c r="I4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42" s="33">
        <v>37530</v>
      </c>
      <c r="K42" s="42" t="s">
        <v>135</v>
      </c>
      <c r="L42" s="42" t="str">
        <f>PROPER(Base_Original!G42)</f>
        <v/>
      </c>
      <c r="M42" s="43">
        <v>10700</v>
      </c>
      <c r="N42" s="43">
        <f>IF(ISNUMBER(Base_Original!I42),Base_Original!I42,IF(RIGHT(Base_Original!I42,7)=" moedas",VALUE(LEFT(Base_Original!I42,LEN(Base_Original!I42)-7)),Base_Original!I42))</f>
        <v>15000</v>
      </c>
      <c r="O42" s="44" t="str">
        <f>IF(AND($N42&gt;50000,$Q42="Sim"),"Negada","Aprovada")</f>
        <v>Aprovada</v>
      </c>
      <c r="P42" s="45">
        <f>IF(AND($T42="Negada",$O42="Negada"),0,IF($B42="Ativo",$U42*8%,"0"))</f>
        <v>6520</v>
      </c>
      <c r="Q42" s="46" t="str">
        <f>IF(OR(Base_Original!J42="Sim",Base_Original!J42="sim",Base_Original!J42="SIM"),"Sim",IF(OR(Base_Original!J42="Não",Base_Original!J42="não",Base_Original!J42="NÃO",Base_Original!J42="Nao"),"Não",IF(Base_Original!J42="","vazio",Base_Original!J42)))</f>
        <v>Não</v>
      </c>
      <c r="R42" s="46">
        <f>IF(ISNUMBER(Base_Original!K42),Base_Original!K42,IF(RIGHT(Base_Original!K42,9)=" batalhas",VALUE(LEFT(Base_Original!K42,LEN(Base_Original!K42)-9)),Base_Original!K42))</f>
        <v>42</v>
      </c>
      <c r="S42" s="42" t="str">
        <f>IF($R42="vazio","vazio",IF($R42&lt;=10,"Baixo",IF($R42&lt;=25,"Médio","Alto")))</f>
        <v>Alto</v>
      </c>
      <c r="T42" s="42" t="str">
        <f>IF(AND($S42="Alto",$Q42="Sim"),"Negada","Aprovada")</f>
        <v>Aprovada</v>
      </c>
      <c r="U42" s="43">
        <v>81500</v>
      </c>
    </row>
    <row r="43" spans="1:21">
      <c r="A43" s="47" t="s">
        <v>896</v>
      </c>
      <c r="B43" s="37" t="str">
        <f>IF(Base_Original!A43="","vazio",IF(Base_Original!A43="ATIVO","Ativo",IF(Base_Original!A43="INATIVO","Inativo",Base_Original!A43)))</f>
        <v>Ativo</v>
      </c>
      <c r="C43" s="37" t="str">
        <f>PROPER(Base_Original!B43)</f>
        <v>Brienne Mallister</v>
      </c>
      <c r="D43" s="38" t="s">
        <v>137</v>
      </c>
      <c r="E43" s="39" t="str">
        <f>IF($D43="","Vazio",IF(LEN(SUBSTITUTE(SUBSTITUTE($D43&amp;"",".",""),"-",""))&lt;&gt;11,"Inválido","OK"))</f>
        <v>OK</v>
      </c>
      <c r="F43" s="39" t="str">
        <f>IF($D43="","Vazio",IF(COUNTIF($D$2:$D$369,$D43)&gt;1,"Duplicado","Único"))</f>
        <v>Único</v>
      </c>
      <c r="G43" s="40" t="str">
        <f>IF(TRIM(Base_Original!D43)="","",SUBSTITUTE(TRIM(Base_Original!D43),"anos",""))</f>
        <v>53</v>
      </c>
      <c r="H43" s="50">
        <f>IF($J43="","Vazio",DATEDIF($J43,DATE(2026,9,10),"Y"))</f>
        <v>53</v>
      </c>
      <c r="I4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43" s="33">
        <v>26840</v>
      </c>
      <c r="K43" s="42" t="s">
        <v>117</v>
      </c>
      <c r="L43" s="42" t="str">
        <f>PROPER(Base_Original!G43)</f>
        <v/>
      </c>
      <c r="M43" s="43">
        <v>9500</v>
      </c>
      <c r="N43" s="43">
        <f>IF(ISNUMBER(Base_Original!I43),Base_Original!I43,IF(RIGHT(Base_Original!I43,7)=" moedas",VALUE(LEFT(Base_Original!I43,LEN(Base_Original!I43)-7)),Base_Original!I43))</f>
        <v>66500</v>
      </c>
      <c r="O43" s="44" t="str">
        <f>IF(AND($N43&gt;50000,$Q43="Sim"),"Negada","Aprovada")</f>
        <v>Negada</v>
      </c>
      <c r="P43" s="45">
        <f>IF(AND($T43="Negada",$O43="Negada"),0,IF($B43="Ativo",$U43*8%,"0"))</f>
        <v>0</v>
      </c>
      <c r="Q43" s="46" t="str">
        <f>IF(OR(Base_Original!J43="Sim",Base_Original!J43="sim",Base_Original!J43="SIM"),"Sim",IF(OR(Base_Original!J43="Não",Base_Original!J43="não",Base_Original!J43="NÃO",Base_Original!J43="Nao"),"Não",IF(Base_Original!J43="","vazio",Base_Original!J43)))</f>
        <v>Sim</v>
      </c>
      <c r="R43" s="46">
        <f>IF(ISNUMBER(Base_Original!K43),Base_Original!K43,IF(RIGHT(Base_Original!K43,9)=" batalhas",VALUE(LEFT(Base_Original!K43,LEN(Base_Original!K43)-9)),Base_Original!K43))</f>
        <v>38</v>
      </c>
      <c r="S43" s="42" t="str">
        <f>IF($R43="vazio","vazio",IF($R43&lt;=10,"Baixo",IF($R43&lt;=25,"Médio","Alto")))</f>
        <v>Alto</v>
      </c>
      <c r="T43" s="42" t="str">
        <f>IF(AND($S43="Alto",$Q43="Sim"),"Negada","Aprovada")</f>
        <v>Negada</v>
      </c>
      <c r="U43" s="43">
        <v>42500</v>
      </c>
    </row>
    <row r="44" spans="1:21">
      <c r="A44" s="47" t="s">
        <v>897</v>
      </c>
      <c r="B44" s="37" t="str">
        <f>IF(Base_Original!A44="","vazio",IF(Base_Original!A44="ATIVO","Ativo",IF(Base_Original!A44="INATIVO","Inativo",Base_Original!A44)))</f>
        <v>Ativo</v>
      </c>
      <c r="C44" s="37" t="str">
        <f>PROPER(Base_Original!B44)</f>
        <v>Brienne Manderly</v>
      </c>
      <c r="D44" s="38" t="s">
        <v>141</v>
      </c>
      <c r="E44" s="39" t="str">
        <f>IF($D44="","Vazio",IF(LEN(SUBSTITUTE(SUBSTITUTE($D44&amp;"",".",""),"-",""))&lt;&gt;11,"Inválido","OK"))</f>
        <v>OK</v>
      </c>
      <c r="F44" s="39" t="str">
        <f>IF($D44="","Vazio",IF(COUNTIF($D$2:$D$369,$D44)&gt;1,"Duplicado","Único"))</f>
        <v>Único</v>
      </c>
      <c r="G44" s="40" t="str">
        <f>IF(TRIM(Base_Original!D44)="","",SUBSTITUTE(TRIM(Base_Original!D44),"anos",""))</f>
        <v>28</v>
      </c>
      <c r="H44" s="50">
        <f>IF($J44="","Vazio",DATEDIF($J44,DATE(2026,9,10),"Y"))</f>
        <v>28</v>
      </c>
      <c r="I4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44" s="33">
        <v>35830</v>
      </c>
      <c r="K44" s="42" t="s">
        <v>142</v>
      </c>
      <c r="L44" s="42" t="str">
        <f>PROPER(Base_Original!G44)</f>
        <v>Oeste</v>
      </c>
      <c r="M44" s="43">
        <v>11900</v>
      </c>
      <c r="N44" s="43">
        <f>IF(ISNUMBER(Base_Original!I44),Base_Original!I44,IF(RIGHT(Base_Original!I44,7)=" moedas",VALUE(LEFT(Base_Original!I44,LEN(Base_Original!I44)-7)),Base_Original!I44))</f>
        <v>19000</v>
      </c>
      <c r="O44" s="44" t="str">
        <f>IF(AND($N44&gt;50000,$Q44="Sim"),"Negada","Aprovada")</f>
        <v>Aprovada</v>
      </c>
      <c r="P44" s="45">
        <f>IF(AND($T44="Negada",$O44="Negada"),0,IF($B44="Ativo",$U44*8%,"0"))</f>
        <v>960</v>
      </c>
      <c r="Q44" s="46" t="str">
        <f>IF(OR(Base_Original!J44="Sim",Base_Original!J44="sim",Base_Original!J44="SIM"),"Sim",IF(OR(Base_Original!J44="Não",Base_Original!J44="não",Base_Original!J44="NÃO",Base_Original!J44="Nao"),"Não",IF(Base_Original!J44="","vazio",Base_Original!J44)))</f>
        <v>Sim</v>
      </c>
      <c r="R44" s="46">
        <f>IF(ISNUMBER(Base_Original!K44),Base_Original!K44,IF(RIGHT(Base_Original!K44,9)=" batalhas",VALUE(LEFT(Base_Original!K44,LEN(Base_Original!K44)-9)),Base_Original!K44))</f>
        <v>4</v>
      </c>
      <c r="S44" s="42" t="str">
        <f>IF($R44="vazio","vazio",IF($R44&lt;=10,"Baixo",IF($R44&lt;=25,"Médio","Alto")))</f>
        <v>Baixo</v>
      </c>
      <c r="T44" s="42" t="str">
        <f>IF(AND($S44="Alto",$Q44="Sim"),"Negada","Aprovada")</f>
        <v>Aprovada</v>
      </c>
      <c r="U44" s="43">
        <v>12000</v>
      </c>
    </row>
    <row r="45" spans="1:21">
      <c r="A45" s="47" t="s">
        <v>898</v>
      </c>
      <c r="B45" s="37" t="str">
        <f>IF(Base_Original!A45="","vazio",IF(Base_Original!A45="ATIVO","Ativo",IF(Base_Original!A45="INATIVO","Inativo",Base_Original!A45)))</f>
        <v>Ativo</v>
      </c>
      <c r="C45" s="37" t="str">
        <f>PROPER(Base_Original!B45)</f>
        <v>Brienne Manderly</v>
      </c>
      <c r="D45" s="38" t="s">
        <v>139</v>
      </c>
      <c r="E45" s="39" t="str">
        <f>IF($D45="","Vazio",IF(LEN(SUBSTITUTE(SUBSTITUTE($D45&amp;"",".",""),"-",""))&lt;&gt;11,"Inválido","OK"))</f>
        <v>OK</v>
      </c>
      <c r="F45" s="39" t="str">
        <f>IF($D45="","Vazio",IF(COUNTIF($D$2:$D$369,$D45)&gt;1,"Duplicado","Único"))</f>
        <v>Único</v>
      </c>
      <c r="G45" s="40" t="str">
        <f>IF(TRIM(Base_Original!D45)="","",SUBSTITUTE(TRIM(Base_Original!D45),"anos",""))</f>
        <v>29</v>
      </c>
      <c r="H45" s="50">
        <f>IF($J45="","Vazio",DATEDIF($J45,DATE(2026,9,10),"Y"))</f>
        <v>29</v>
      </c>
      <c r="I4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45" s="33">
        <v>35472</v>
      </c>
      <c r="K45" s="42" t="s">
        <v>91</v>
      </c>
      <c r="L45" s="42" t="str">
        <f>PROPER(Base_Original!G45)</f>
        <v/>
      </c>
      <c r="M45" s="43">
        <v>8600</v>
      </c>
      <c r="N45" s="43">
        <f>IF(ISNUMBER(Base_Original!I45),Base_Original!I45,IF(RIGHT(Base_Original!I45,7)=" moedas",VALUE(LEFT(Base_Original!I45,LEN(Base_Original!I45)-7)),Base_Original!I45))</f>
        <v>65000</v>
      </c>
      <c r="O45" s="44" t="str">
        <f>IF(AND($N45&gt;50000,$Q45="Sim"),"Negada","Aprovada")</f>
        <v>Negada</v>
      </c>
      <c r="P45" s="45">
        <f>IF(AND($T45="Negada",$O45="Negada"),0,IF($B45="Ativo",$U45*8%,"0"))</f>
        <v>0</v>
      </c>
      <c r="Q45" s="46" t="str">
        <f>IF(OR(Base_Original!J45="Sim",Base_Original!J45="sim",Base_Original!J45="SIM"),"Sim",IF(OR(Base_Original!J45="Não",Base_Original!J45="não",Base_Original!J45="NÃO",Base_Original!J45="Nao"),"Não",IF(Base_Original!J45="","vazio",Base_Original!J45)))</f>
        <v>Sim</v>
      </c>
      <c r="R45" s="46">
        <f>IF(ISNUMBER(Base_Original!K45),Base_Original!K45,IF(RIGHT(Base_Original!K45,9)=" batalhas",VALUE(LEFT(Base_Original!K45,LEN(Base_Original!K45)-9)),Base_Original!K45))</f>
        <v>29</v>
      </c>
      <c r="S45" s="42" t="str">
        <f>IF($R45="vazio","vazio",IF($R45&lt;=10,"Baixo",IF($R45&lt;=25,"Médio","Alto")))</f>
        <v>Alto</v>
      </c>
      <c r="T45" s="42" t="str">
        <f>IF(AND($S45="Alto",$Q45="Sim"),"Negada","Aprovada")</f>
        <v>Negada</v>
      </c>
      <c r="U45" s="43">
        <v>32500</v>
      </c>
    </row>
    <row r="46" spans="1:21">
      <c r="A46" s="47" t="s">
        <v>899</v>
      </c>
      <c r="B46" s="37" t="str">
        <f>IF(Base_Original!A46="","vazio",IF(Base_Original!A46="ATIVO","Ativo",IF(Base_Original!A46="INATIVO","Inativo",Base_Original!A46)))</f>
        <v>Inativo</v>
      </c>
      <c r="C46" s="37" t="str">
        <f>PROPER(Base_Original!B46)</f>
        <v>Brienne Reed</v>
      </c>
      <c r="D46" s="38" t="s">
        <v>144</v>
      </c>
      <c r="E46" s="39" t="str">
        <f>IF($D46="","Vazio",IF(LEN(SUBSTITUTE(SUBSTITUTE($D46&amp;"",".",""),"-",""))&lt;&gt;11,"Inválido","OK"))</f>
        <v>OK</v>
      </c>
      <c r="F46" s="39" t="str">
        <f>IF($D46="","Vazio",IF(COUNTIF($D$2:$D$369,$D46)&gt;1,"Duplicado","Único"))</f>
        <v>Único</v>
      </c>
      <c r="G46" s="40" t="str">
        <f>IF(TRIM(Base_Original!D46)="","",SUBSTITUTE(TRIM(Base_Original!D46),"anos",""))</f>
        <v>68</v>
      </c>
      <c r="H46" s="50">
        <f>IF($J46="","Vazio",DATEDIF($J46,DATE(2026,9,10),"Y"))</f>
        <v>68</v>
      </c>
      <c r="I4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46" s="33">
        <v>21293</v>
      </c>
      <c r="K46" s="42" t="s">
        <v>44</v>
      </c>
      <c r="L46" s="42" t="str">
        <f>PROPER(Base_Original!G46)</f>
        <v>Ilhas De Ferro</v>
      </c>
      <c r="M46" s="43">
        <v>3800</v>
      </c>
      <c r="N46" s="43">
        <f>IF(ISNUMBER(Base_Original!I46),Base_Original!I46,IF(RIGHT(Base_Original!I46,7)=" moedas",VALUE(LEFT(Base_Original!I46,LEN(Base_Original!I46)-7)),Base_Original!I46))</f>
        <v>70000</v>
      </c>
      <c r="O46" s="44" t="str">
        <f>IF(AND($N46&gt;50000,$Q46="Sim"),"Negada","Aprovada")</f>
        <v>Negada</v>
      </c>
      <c r="P46" s="45">
        <f>IF(AND($T46="Negada",$O46="Negada"),0,IF($B46="Ativo",$U46*8%,"0"))</f>
        <v>0</v>
      </c>
      <c r="Q46" s="46" t="str">
        <f>IF(OR(Base_Original!J46="Sim",Base_Original!J46="sim",Base_Original!J46="SIM"),"Sim",IF(OR(Base_Original!J46="Não",Base_Original!J46="não",Base_Original!J46="NÃO",Base_Original!J46="Nao"),"Não",IF(Base_Original!J46="","vazio",Base_Original!J46)))</f>
        <v>Sim</v>
      </c>
      <c r="R46" s="46">
        <f>IF(ISNUMBER(Base_Original!K46),Base_Original!K46,IF(RIGHT(Base_Original!K46,9)=" batalhas",VALUE(LEFT(Base_Original!K46,LEN(Base_Original!K46)-9)),Base_Original!K46))</f>
        <v>34</v>
      </c>
      <c r="S46" s="42" t="str">
        <f>IF($R46="vazio","vazio",IF($R46&lt;=10,"Baixo",IF($R46&lt;=25,"Médio","Alto")))</f>
        <v>Alto</v>
      </c>
      <c r="T46" s="42" t="str">
        <f>IF(AND($S46="Alto",$Q46="Sim"),"Negada","Aprovada")</f>
        <v>Negada</v>
      </c>
      <c r="U46" s="43">
        <v>7500</v>
      </c>
    </row>
    <row r="47" spans="1:21">
      <c r="A47" s="47" t="s">
        <v>900</v>
      </c>
      <c r="B47" s="37" t="str">
        <f>IF(Base_Original!A47="","vazio",IF(Base_Original!A47="ATIVO","Ativo",IF(Base_Original!A47="INATIVO","Inativo",Base_Original!A47)))</f>
        <v>Ativo</v>
      </c>
      <c r="C47" s="37" t="str">
        <f>PROPER(Base_Original!B47)</f>
        <v>Brienne Royce</v>
      </c>
      <c r="D47" s="38">
        <v>10800</v>
      </c>
      <c r="E47" s="39" t="str">
        <f>IF($D47="","Vazio",IF(LEN(SUBSTITUTE(SUBSTITUTE($D47&amp;"",".",""),"-",""))&lt;&gt;11,"Inválido","OK"))</f>
        <v>Inválido</v>
      </c>
      <c r="F47" s="39" t="str">
        <f>IF($D47="","Vazio",IF(COUNTIF($D$2:$D$369,$D47)&gt;1,"Duplicado","Único"))</f>
        <v>Único</v>
      </c>
      <c r="G47" s="40" t="str">
        <f>IF(TRIM(Base_Original!D47)="","",SUBSTITUTE(TRIM(Base_Original!D47),"anos",""))</f>
        <v>39</v>
      </c>
      <c r="H47" s="50">
        <f>IF($J47="","Vazio",DATEDIF($J47,DATE(2026,9,10),"Y"))</f>
        <v>39</v>
      </c>
      <c r="I4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47" s="33">
        <v>31766</v>
      </c>
      <c r="K47" s="42" t="s">
        <v>101</v>
      </c>
      <c r="L47" s="42" t="str">
        <f>PROPER(Base_Original!G47)</f>
        <v>Campina</v>
      </c>
      <c r="M47" s="43">
        <v>24700</v>
      </c>
      <c r="N47" s="43">
        <f>IF(ISNUMBER(Base_Original!I47),Base_Original!I47,IF(RIGHT(Base_Original!I47,7)=" moedas",VALUE(LEFT(Base_Original!I47,LEN(Base_Original!I47)-7)),Base_Original!I47))</f>
        <v>23500</v>
      </c>
      <c r="O47" s="44" t="str">
        <f>IF(AND($N47&gt;50000,$Q47="Sim"),"Negada","Aprovada")</f>
        <v>Aprovada</v>
      </c>
      <c r="P47" s="45">
        <f>IF(AND($T47="Negada",$O47="Negada"),0,IF($B47="Ativo",$U47*8%,"0"))</f>
        <v>4560</v>
      </c>
      <c r="Q47" s="46" t="str">
        <f>IF(OR(Base_Original!J47="Sim",Base_Original!J47="sim",Base_Original!J47="SIM"),"Sim",IF(OR(Base_Original!J47="Não",Base_Original!J47="não",Base_Original!J47="NÃO",Base_Original!J47="Nao"),"Não",IF(Base_Original!J47="","vazio",Base_Original!J47)))</f>
        <v>Não</v>
      </c>
      <c r="R47" s="46">
        <f>IF(ISNUMBER(Base_Original!K47),Base_Original!K47,IF(RIGHT(Base_Original!K47,9)=" batalhas",VALUE(LEFT(Base_Original!K47,LEN(Base_Original!K47)-9)),Base_Original!K47))</f>
        <v>43</v>
      </c>
      <c r="S47" s="42" t="str">
        <f>IF($R47="vazio","vazio",IF($R47&lt;=10,"Baixo",IF($R47&lt;=25,"Médio","Alto")))</f>
        <v>Alto</v>
      </c>
      <c r="T47" s="42" t="str">
        <f>IF(AND($S47="Alto",$Q47="Sim"),"Negada","Aprovada")</f>
        <v>Aprovada</v>
      </c>
      <c r="U47" s="43">
        <v>57000</v>
      </c>
    </row>
    <row r="48" spans="1:21">
      <c r="A48" s="47" t="s">
        <v>901</v>
      </c>
      <c r="B48" s="37" t="str">
        <f>IF(Base_Original!A48="","vazio",IF(Base_Original!A48="ATIVO","Ativo",IF(Base_Original!A48="INATIVO","Inativo",Base_Original!A48)))</f>
        <v>Ativo</v>
      </c>
      <c r="C48" s="37" t="str">
        <f>PROPER(Base_Original!B48)</f>
        <v>Brienne Westerling</v>
      </c>
      <c r="D48" s="38" t="s">
        <v>149</v>
      </c>
      <c r="E48" s="39" t="str">
        <f>IF($D48="","Vazio",IF(LEN(SUBSTITUTE(SUBSTITUTE($D48&amp;"",".",""),"-",""))&lt;&gt;11,"Inválido","OK"))</f>
        <v>OK</v>
      </c>
      <c r="F48" s="39" t="str">
        <f>IF($D48="","Vazio",IF(COUNTIF($D$2:$D$369,$D48)&gt;1,"Duplicado","Único"))</f>
        <v>Único</v>
      </c>
      <c r="G48" s="40" t="str">
        <f>IF(TRIM(Base_Original!D48)="","",SUBSTITUTE(TRIM(Base_Original!D48),"anos",""))</f>
        <v>59</v>
      </c>
      <c r="H48" s="50">
        <f>IF($J48="","Vazio",DATEDIF($J48,DATE(2026,9,10),"Y"))</f>
        <v>59</v>
      </c>
      <c r="I4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48" s="33">
        <v>24578</v>
      </c>
      <c r="K48" s="42" t="s">
        <v>150</v>
      </c>
      <c r="L48" s="42" t="str">
        <f>PROPER(Base_Original!G48)</f>
        <v/>
      </c>
      <c r="M48" s="43">
        <v>6600</v>
      </c>
      <c r="N48" s="43">
        <f>IF(ISNUMBER(Base_Original!I48),Base_Original!I48,IF(RIGHT(Base_Original!I48,7)=" moedas",VALUE(LEFT(Base_Original!I48,LEN(Base_Original!I48)-7)),Base_Original!I48))</f>
        <v>50000</v>
      </c>
      <c r="O48" s="44" t="str">
        <f>IF(AND($N48&gt;50000,$Q48="Sim"),"Negada","Aprovada")</f>
        <v>Aprovada</v>
      </c>
      <c r="P48" s="45">
        <f>IF(AND($T48="Negada",$O48="Negada"),0,IF($B48="Ativo",$U48*8%,"0"))</f>
        <v>2000</v>
      </c>
      <c r="Q48" s="46" t="str">
        <f>IF(OR(Base_Original!J48="Sim",Base_Original!J48="sim",Base_Original!J48="SIM"),"Sim",IF(OR(Base_Original!J48="Não",Base_Original!J48="não",Base_Original!J48="NÃO",Base_Original!J48="Nao"),"Não",IF(Base_Original!J48="","vazio",Base_Original!J48)))</f>
        <v>Sim</v>
      </c>
      <c r="R48" s="46">
        <f>IF(ISNUMBER(Base_Original!K48),Base_Original!K48,IF(RIGHT(Base_Original!K48,9)=" batalhas",VALUE(LEFT(Base_Original!K48,LEN(Base_Original!K48)-9)),Base_Original!K48))</f>
        <v>9</v>
      </c>
      <c r="S48" s="42" t="str">
        <f>IF($R48="vazio","vazio",IF($R48&lt;=10,"Baixo",IF($R48&lt;=25,"Médio","Alto")))</f>
        <v>Baixo</v>
      </c>
      <c r="T48" s="42" t="str">
        <f>IF(AND($S48="Alto",$Q48="Sim"),"Negada","Aprovada")</f>
        <v>Aprovada</v>
      </c>
      <c r="U48" s="43">
        <v>25000</v>
      </c>
    </row>
    <row r="49" spans="1:21">
      <c r="A49" s="47" t="s">
        <v>902</v>
      </c>
      <c r="B49" s="37" t="str">
        <f>IF(Base_Original!A49="","vazio",IF(Base_Original!A49="ATIVO","Ativo",IF(Base_Original!A49="INATIVO","Inativo",Base_Original!A49)))</f>
        <v>Ativo</v>
      </c>
      <c r="C49" s="37" t="str">
        <f>PROPER(Base_Original!B49)</f>
        <v>Bronn Arryn</v>
      </c>
      <c r="D49" s="38" t="s">
        <v>152</v>
      </c>
      <c r="E49" s="39" t="str">
        <f>IF($D49="","Vazio",IF(LEN(SUBSTITUTE(SUBSTITUTE($D49&amp;"",".",""),"-",""))&lt;&gt;11,"Inválido","OK"))</f>
        <v>OK</v>
      </c>
      <c r="F49" s="39" t="str">
        <f>IF($D49="","Vazio",IF(COUNTIF($D$2:$D$369,$D49)&gt;1,"Duplicado","Único"))</f>
        <v>Único</v>
      </c>
      <c r="G49" s="40" t="str">
        <f>IF(TRIM(Base_Original!D49)="","",SUBSTITUTE(TRIM(Base_Original!D49),"anos",""))</f>
        <v>44</v>
      </c>
      <c r="H49" s="50">
        <f>IF($J49="","Vazio",DATEDIF($J49,DATE(2026,9,10),"Y"))</f>
        <v>44</v>
      </c>
      <c r="I4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49" s="33">
        <v>29975</v>
      </c>
      <c r="K49" s="42" t="s">
        <v>91</v>
      </c>
      <c r="L49" s="42" t="str">
        <f>PROPER(Base_Original!G49)</f>
        <v>Oeste</v>
      </c>
      <c r="M49" s="43">
        <v>5300</v>
      </c>
      <c r="N49" s="43">
        <f>IF(ISNUMBER(Base_Original!I49),Base_Original!I49,IF(RIGHT(Base_Original!I49,7)=" moedas",VALUE(LEFT(Base_Original!I49,LEN(Base_Original!I49)-7)),Base_Original!I49))</f>
        <v>6000</v>
      </c>
      <c r="O49" s="44" t="str">
        <f>IF(AND($N49&gt;50000,$Q49="Sim"),"Negada","Aprovada")</f>
        <v>Aprovada</v>
      </c>
      <c r="P49" s="45">
        <f>IF(AND($T49="Negada",$O49="Negada"),0,IF($B49="Ativo",$U49*8%,"0"))</f>
        <v>360</v>
      </c>
      <c r="Q49" s="46" t="str">
        <f>IF(OR(Base_Original!J49="Sim",Base_Original!J49="sim",Base_Original!J49="SIM"),"Sim",IF(OR(Base_Original!J49="Não",Base_Original!J49="não",Base_Original!J49="NÃO",Base_Original!J49="Nao"),"Não",IF(Base_Original!J49="","vazio",Base_Original!J49)))</f>
        <v>Sim</v>
      </c>
      <c r="R49" s="46">
        <f>IF(ISNUMBER(Base_Original!K49),Base_Original!K49,IF(RIGHT(Base_Original!K49,9)=" batalhas",VALUE(LEFT(Base_Original!K49,LEN(Base_Original!K49)-9)),Base_Original!K49))</f>
        <v>1</v>
      </c>
      <c r="S49" s="42" t="str">
        <f>IF($R49="vazio","vazio",IF($R49&lt;=10,"Baixo",IF($R49&lt;=25,"Médio","Alto")))</f>
        <v>Baixo</v>
      </c>
      <c r="T49" s="42" t="str">
        <f>IF(AND($S49="Alto",$Q49="Sim"),"Negada","Aprovada")</f>
        <v>Aprovada</v>
      </c>
      <c r="U49" s="43">
        <v>4500</v>
      </c>
    </row>
    <row r="50" spans="1:21">
      <c r="A50" s="47" t="s">
        <v>903</v>
      </c>
      <c r="B50" s="37" t="str">
        <f>IF(Base_Original!A50="","vazio",IF(Base_Original!A50="ATIVO","Ativo",IF(Base_Original!A50="INATIVO","Inativo",Base_Original!A50)))</f>
        <v>Inativo</v>
      </c>
      <c r="C50" s="37" t="str">
        <f>PROPER(Base_Original!B50)</f>
        <v>Bronn Baratheon</v>
      </c>
      <c r="D50" s="38">
        <v>32500</v>
      </c>
      <c r="E50" s="39" t="str">
        <f>IF($D50="","Vazio",IF(LEN(SUBSTITUTE(SUBSTITUTE($D50&amp;"",".",""),"-",""))&lt;&gt;11,"Inválido","OK"))</f>
        <v>Inválido</v>
      </c>
      <c r="F50" s="39" t="str">
        <f>IF($D50="","Vazio",IF(COUNTIF($D$2:$D$369,$D50)&gt;1,"Duplicado","Único"))</f>
        <v>Único</v>
      </c>
      <c r="G50" s="40" t="str">
        <f>IF(TRIM(Base_Original!D50)="","",SUBSTITUTE(TRIM(Base_Original!D50),"anos",""))</f>
        <v>48</v>
      </c>
      <c r="H50" s="50">
        <f>IF($J50="","Vazio",DATEDIF($J50,DATE(2026,9,10),"Y"))</f>
        <v>48</v>
      </c>
      <c r="I5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50" s="33">
        <v>28446</v>
      </c>
      <c r="K50" s="42" t="s">
        <v>69</v>
      </c>
      <c r="L50" s="42" t="str">
        <f>PROPER(Base_Original!G50)</f>
        <v>Terras Da Coroa</v>
      </c>
      <c r="M50" s="43">
        <v>6900</v>
      </c>
      <c r="N50" s="43">
        <f>IF(ISNUMBER(Base_Original!I50),Base_Original!I50,IF(RIGHT(Base_Original!I50,7)=" moedas",VALUE(LEFT(Base_Original!I50,LEN(Base_Original!I50)-7)),Base_Original!I50))</f>
        <v>52500</v>
      </c>
      <c r="O50" s="44" t="str">
        <f>IF(AND($N50&gt;50000,$Q50="Sim"),"Negada","Aprovada")</f>
        <v>Negada</v>
      </c>
      <c r="P50" s="45" t="str">
        <f>IF(AND($T50="Negada",$O50="Negada"),0,IF($B50="Ativo",$U50*8%,"0"))</f>
        <v>0</v>
      </c>
      <c r="Q50" s="46" t="str">
        <f>IF(OR(Base_Original!J50="Sim",Base_Original!J50="sim",Base_Original!J50="SIM"),"Sim",IF(OR(Base_Original!J50="Não",Base_Original!J50="não",Base_Original!J50="NÃO",Base_Original!J50="Nao"),"Não",IF(Base_Original!J50="","vazio",Base_Original!J50)))</f>
        <v>Sim</v>
      </c>
      <c r="R50" s="46">
        <f>IF(ISNUMBER(Base_Original!K50),Base_Original!K50,IF(RIGHT(Base_Original!K50,9)=" batalhas",VALUE(LEFT(Base_Original!K50,LEN(Base_Original!K50)-9)),Base_Original!K50))</f>
        <v>0</v>
      </c>
      <c r="S50" s="42" t="str">
        <f>IF($R50="vazio","vazio",IF($R50&lt;=10,"Baixo",IF($R50&lt;=25,"Médio","Alto")))</f>
        <v>Baixo</v>
      </c>
      <c r="T50" s="42" t="str">
        <f>IF(AND($S50="Alto",$Q50="Sim"),"Negada","Aprovada")</f>
        <v>Aprovada</v>
      </c>
      <c r="U50" s="43">
        <v>66000</v>
      </c>
    </row>
    <row r="51" spans="1:21">
      <c r="A51" s="47" t="s">
        <v>904</v>
      </c>
      <c r="B51" s="37" t="str">
        <f>IF(Base_Original!A51="","vazio",IF(Base_Original!A51="ATIVO","Ativo",IF(Base_Original!A51="INATIVO","Inativo",Base_Original!A51)))</f>
        <v>Ativo</v>
      </c>
      <c r="C51" s="37" t="str">
        <f>PROPER(Base_Original!B51)</f>
        <v>Bronn Blackwood</v>
      </c>
      <c r="D51" s="38" t="s">
        <v>156</v>
      </c>
      <c r="E51" s="39" t="str">
        <f>IF($D51="","Vazio",IF(LEN(SUBSTITUTE(SUBSTITUTE($D51&amp;"",".",""),"-",""))&lt;&gt;11,"Inválido","OK"))</f>
        <v>OK</v>
      </c>
      <c r="F51" s="39" t="str">
        <f>IF($D51="","Vazio",IF(COUNTIF($D$2:$D$369,$D51)&gt;1,"Duplicado","Único"))</f>
        <v>Único</v>
      </c>
      <c r="G51" s="40" t="str">
        <f>IF(TRIM(Base_Original!D51)="","",SUBSTITUTE(TRIM(Base_Original!D51),"anos",""))</f>
        <v>43</v>
      </c>
      <c r="H51" s="50">
        <f>IF($J51="","Vazio",DATEDIF($J51,DATE(2026,9,10),"Y"))</f>
        <v>43</v>
      </c>
      <c r="I5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51" s="33">
        <v>30309</v>
      </c>
      <c r="K51" s="42" t="s">
        <v>150</v>
      </c>
      <c r="L51" s="42" t="str">
        <f>PROPER(Base_Original!G51)</f>
        <v>Gargalo</v>
      </c>
      <c r="M51" s="43">
        <v>18400</v>
      </c>
      <c r="N51" s="43">
        <f>IF(ISNUMBER(Base_Original!I51),Base_Original!I51,IF(RIGHT(Base_Original!I51,7)=" moedas",VALUE(LEFT(Base_Original!I51,LEN(Base_Original!I51)-7)),Base_Original!I51))</f>
        <v>62000</v>
      </c>
      <c r="O51" s="44" t="str">
        <f>IF(AND($N51&gt;50000,$Q51="Sim"),"Negada","Aprovada")</f>
        <v>Aprovada</v>
      </c>
      <c r="P51" s="45">
        <f>IF(AND($T51="Negada",$O51="Negada"),0,IF($B51="Ativo",$U51*8%,"0"))</f>
        <v>2480</v>
      </c>
      <c r="Q51" s="46" t="str">
        <f>IF(OR(Base_Original!J51="Sim",Base_Original!J51="sim",Base_Original!J51="SIM"),"Sim",IF(OR(Base_Original!J51="Não",Base_Original!J51="não",Base_Original!J51="NÃO",Base_Original!J51="Nao"),"Não",IF(Base_Original!J51="","vazio",Base_Original!J51)))</f>
        <v>Não</v>
      </c>
      <c r="R51" s="46">
        <f>IF(ISNUMBER(Base_Original!K51),Base_Original!K51,IF(RIGHT(Base_Original!K51,9)=" batalhas",VALUE(LEFT(Base_Original!K51,LEN(Base_Original!K51)-9)),Base_Original!K51))</f>
        <v>33</v>
      </c>
      <c r="S51" s="42" t="str">
        <f>IF($R51="vazio","vazio",IF($R51&lt;=10,"Baixo",IF($R51&lt;=25,"Médio","Alto")))</f>
        <v>Alto</v>
      </c>
      <c r="T51" s="42" t="str">
        <f>IF(AND($S51="Alto",$Q51="Sim"),"Negada","Aprovada")</f>
        <v>Aprovada</v>
      </c>
      <c r="U51" s="43">
        <v>31000</v>
      </c>
    </row>
    <row r="52" spans="1:21">
      <c r="A52" s="47" t="s">
        <v>905</v>
      </c>
      <c r="B52" s="37" t="str">
        <f>IF(Base_Original!A52="","vazio",IF(Base_Original!A52="ATIVO","Ativo",IF(Base_Original!A52="INATIVO","Inativo",Base_Original!A52)))</f>
        <v>Ativo</v>
      </c>
      <c r="C52" s="37" t="str">
        <f>PROPER(Base_Original!B52)</f>
        <v>Bronn Bolton</v>
      </c>
      <c r="D52" s="38" t="s">
        <v>159</v>
      </c>
      <c r="E52" s="39" t="str">
        <f>IF($D52="","Vazio",IF(LEN(SUBSTITUTE(SUBSTITUTE($D52&amp;"",".",""),"-",""))&lt;&gt;11,"Inválido","OK"))</f>
        <v>OK</v>
      </c>
      <c r="F52" s="39" t="str">
        <f>IF($D52="","Vazio",IF(COUNTIF($D$2:$D$369,$D52)&gt;1,"Duplicado","Único"))</f>
        <v>Único</v>
      </c>
      <c r="G52" s="40" t="str">
        <f>IF(TRIM(Base_Original!D52)="","",SUBSTITUTE(TRIM(Base_Original!D52),"anos",""))</f>
        <v>26</v>
      </c>
      <c r="H52" s="50">
        <f>IF($J52="","Vazio",DATEDIF($J52,DATE(2026,9,10),"Y"))</f>
        <v>26</v>
      </c>
      <c r="I5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52" s="33">
        <v>36619</v>
      </c>
      <c r="K52" s="42" t="s">
        <v>160</v>
      </c>
      <c r="L52" s="42" t="str">
        <f>PROPER(Base_Original!G52)</f>
        <v>Terras Fluviais</v>
      </c>
      <c r="M52" s="43">
        <v>26800</v>
      </c>
      <c r="N52" s="43">
        <f>IF(ISNUMBER(Base_Original!I52),Base_Original!I52,IF(RIGHT(Base_Original!I52,7)=" moedas",VALUE(LEFT(Base_Original!I52,LEN(Base_Original!I52)-7)),Base_Original!I52))</f>
        <v>42500</v>
      </c>
      <c r="O52" s="44" t="str">
        <f>IF(AND($N52&gt;50000,$Q52="Sim"),"Negada","Aprovada")</f>
        <v>Aprovada</v>
      </c>
      <c r="P52" s="45">
        <f>IF(AND($T52="Negada",$O52="Negada"),0,IF($B52="Ativo",$U52*8%,"0"))</f>
        <v>5280</v>
      </c>
      <c r="Q52" s="46" t="str">
        <f>IF(OR(Base_Original!J52="Sim",Base_Original!J52="sim",Base_Original!J52="SIM"),"Sim",IF(OR(Base_Original!J52="Não",Base_Original!J52="não",Base_Original!J52="NÃO",Base_Original!J52="Nao"),"Não",IF(Base_Original!J52="","vazio",Base_Original!J52)))</f>
        <v>Sim</v>
      </c>
      <c r="R52" s="46">
        <f>IF(ISNUMBER(Base_Original!K52),Base_Original!K52,IF(RIGHT(Base_Original!K52,9)=" batalhas",VALUE(LEFT(Base_Original!K52,LEN(Base_Original!K52)-9)),Base_Original!K52))</f>
        <v>29</v>
      </c>
      <c r="S52" s="42" t="str">
        <f>IF($R52="vazio","vazio",IF($R52&lt;=10,"Baixo",IF($R52&lt;=25,"Médio","Alto")))</f>
        <v>Alto</v>
      </c>
      <c r="T52" s="42" t="str">
        <f>IF(AND($S52="Alto",$Q52="Sim"),"Negada","Aprovada")</f>
        <v>Negada</v>
      </c>
      <c r="U52" s="43">
        <v>66000</v>
      </c>
    </row>
    <row r="53" spans="1:21">
      <c r="A53" s="47" t="s">
        <v>906</v>
      </c>
      <c r="B53" s="37" t="str">
        <f>IF(Base_Original!A53="","vazio",IF(Base_Original!A53="ATIVO","Ativo",IF(Base_Original!A53="INATIVO","Inativo",Base_Original!A53)))</f>
        <v>Ativo</v>
      </c>
      <c r="C53" s="37" t="str">
        <f>PROPER(Base_Original!B53)</f>
        <v>Bronn Crakehall</v>
      </c>
      <c r="D53" s="38">
        <v>29500</v>
      </c>
      <c r="E53" s="39" t="str">
        <f>IF($D53="","Vazio",IF(LEN(SUBSTITUTE(SUBSTITUTE($D53&amp;"",".",""),"-",""))&lt;&gt;11,"Inválido","OK"))</f>
        <v>Inválido</v>
      </c>
      <c r="F53" s="39" t="str">
        <f>IF($D53="","Vazio",IF(COUNTIF($D$2:$D$369,$D53)&gt;1,"Duplicado","Único"))</f>
        <v>Único</v>
      </c>
      <c r="G53" s="40" t="str">
        <f>IF(TRIM(Base_Original!D53)="","",SUBSTITUTE(TRIM(Base_Original!D53),"anos",""))</f>
        <v>68</v>
      </c>
      <c r="H53" s="50">
        <f>IF($J53="","Vazio",DATEDIF($J53,DATE(2026,9,10),"Y"))</f>
        <v>68</v>
      </c>
      <c r="I5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53" s="33">
        <v>21079</v>
      </c>
      <c r="K53" s="42" t="s">
        <v>150</v>
      </c>
      <c r="L53" s="42" t="str">
        <f>PROPER(Base_Original!G53)</f>
        <v>Gargalo</v>
      </c>
      <c r="M53" s="43">
        <v>3600</v>
      </c>
      <c r="N53" s="43">
        <f>IF(ISNUMBER(Base_Original!I53),Base_Original!I53,IF(RIGHT(Base_Original!I53,7)=" moedas",VALUE(LEFT(Base_Original!I53,LEN(Base_Original!I53)-7)),Base_Original!I53))</f>
        <v>64500</v>
      </c>
      <c r="O53" s="44" t="str">
        <f>IF(AND($N53&gt;50000,$Q53="Sim"),"Negada","Aprovada")</f>
        <v>Negada</v>
      </c>
      <c r="P53" s="45">
        <f>IF(AND($T53="Negada",$O53="Negada"),0,IF($B53="Ativo",$U53*8%,"0"))</f>
        <v>0</v>
      </c>
      <c r="Q53" s="46" t="str">
        <f>IF(OR(Base_Original!J53="Sim",Base_Original!J53="sim",Base_Original!J53="SIM"),"Sim",IF(OR(Base_Original!J53="Não",Base_Original!J53="não",Base_Original!J53="NÃO",Base_Original!J53="Nao"),"Não",IF(Base_Original!J53="","vazio",Base_Original!J53)))</f>
        <v>Sim</v>
      </c>
      <c r="R53" s="46">
        <f>IF(ISNUMBER(Base_Original!K53),Base_Original!K53,IF(RIGHT(Base_Original!K53,9)=" batalhas",VALUE(LEFT(Base_Original!K53,LEN(Base_Original!K53)-9)),Base_Original!K53))</f>
        <v>32</v>
      </c>
      <c r="S53" s="42" t="str">
        <f>IF($R53="vazio","vazio",IF($R53&lt;=10,"Baixo",IF($R53&lt;=25,"Médio","Alto")))</f>
        <v>Alto</v>
      </c>
      <c r="T53" s="42" t="str">
        <f>IF(AND($S53="Alto",$Q53="Sim"),"Negada","Aprovada")</f>
        <v>Negada</v>
      </c>
      <c r="U53" s="43">
        <v>35500</v>
      </c>
    </row>
    <row r="54" spans="1:21">
      <c r="A54" s="47" t="s">
        <v>907</v>
      </c>
      <c r="B54" s="37" t="str">
        <f>IF(Base_Original!A54="","vazio",IF(Base_Original!A54="ATIVO","Ativo",IF(Base_Original!A54="INATIVO","Inativo",Base_Original!A54)))</f>
        <v>Ativo</v>
      </c>
      <c r="C54" s="37" t="str">
        <f>PROPER(Base_Original!B54)</f>
        <v>Bronn Dondarrion</v>
      </c>
      <c r="D54" s="38" t="s">
        <v>166</v>
      </c>
      <c r="E54" s="39" t="str">
        <f>IF($D54="","Vazio",IF(LEN(SUBSTITUTE(SUBSTITUTE($D54&amp;"",".",""),"-",""))&lt;&gt;11,"Inválido","OK"))</f>
        <v>OK</v>
      </c>
      <c r="F54" s="39" t="str">
        <f>IF($D54="","Vazio",IF(COUNTIF($D$2:$D$369,$D54)&gt;1,"Duplicado","Único"))</f>
        <v>Único</v>
      </c>
      <c r="G54" s="40" t="str">
        <f>IF(TRIM(Base_Original!D54)="","",SUBSTITUTE(TRIM(Base_Original!D54),"anos",""))</f>
        <v>49</v>
      </c>
      <c r="H54" s="50">
        <f>IF($J54="","Vazio",DATEDIF($J54,DATE(2026,9,10),"Y"))</f>
        <v>49</v>
      </c>
      <c r="I5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54" s="33">
        <v>28136</v>
      </c>
      <c r="K54" s="42" t="s">
        <v>20</v>
      </c>
      <c r="L54" s="42" t="str">
        <f>PROPER(Base_Original!G54)</f>
        <v>Campina</v>
      </c>
      <c r="M54" s="43">
        <v>20300</v>
      </c>
      <c r="N54" s="43">
        <f>IF(ISNUMBER(Base_Original!I54),Base_Original!I54,IF(RIGHT(Base_Original!I54,7)=" moedas",VALUE(LEFT(Base_Original!I54,LEN(Base_Original!I54)-7)),Base_Original!I54))</f>
        <v>12000</v>
      </c>
      <c r="O54" s="44" t="str">
        <f>IF(AND($N54&gt;50000,$Q54="Sim"),"Negada","Aprovada")</f>
        <v>Aprovada</v>
      </c>
      <c r="P54" s="45">
        <f>IF(AND($T54="Negada",$O54="Negada"),0,IF($B54="Ativo",$U54*8%,"0"))</f>
        <v>5400</v>
      </c>
      <c r="Q54" s="46" t="str">
        <f>IF(OR(Base_Original!J54="Sim",Base_Original!J54="sim",Base_Original!J54="SIM"),"Sim",IF(OR(Base_Original!J54="Não",Base_Original!J54="não",Base_Original!J54="NÃO",Base_Original!J54="Nao"),"Não",IF(Base_Original!J54="","vazio",Base_Original!J54)))</f>
        <v>Sim</v>
      </c>
      <c r="R54" s="46">
        <f>IF(ISNUMBER(Base_Original!K54),Base_Original!K54,IF(RIGHT(Base_Original!K54,9)=" batalhas",VALUE(LEFT(Base_Original!K54,LEN(Base_Original!K54)-9)),Base_Original!K54))</f>
        <v>27</v>
      </c>
      <c r="S54" s="42" t="str">
        <f>IF($R54="vazio","vazio",IF($R54&lt;=10,"Baixo",IF($R54&lt;=25,"Médio","Alto")))</f>
        <v>Alto</v>
      </c>
      <c r="T54" s="42" t="str">
        <f>IF(AND($S54="Alto",$Q54="Sim"),"Negada","Aprovada")</f>
        <v>Negada</v>
      </c>
      <c r="U54" s="43">
        <v>67500</v>
      </c>
    </row>
    <row r="55" spans="1:21">
      <c r="A55" s="47" t="s">
        <v>908</v>
      </c>
      <c r="B55" s="37" t="str">
        <f>IF(Base_Original!A55="","vazio",IF(Base_Original!A55="ATIVO","Ativo",IF(Base_Original!A55="INATIVO","Inativo",Base_Original!A55)))</f>
        <v>Ativo</v>
      </c>
      <c r="C55" s="37" t="str">
        <f>PROPER(Base_Original!B55)</f>
        <v>Bronn Mallister</v>
      </c>
      <c r="D55" s="38" t="s">
        <v>168</v>
      </c>
      <c r="E55" s="39" t="str">
        <f>IF($D55="","Vazio",IF(LEN(SUBSTITUTE(SUBSTITUTE($D55&amp;"",".",""),"-",""))&lt;&gt;11,"Inválido","OK"))</f>
        <v>OK</v>
      </c>
      <c r="F55" s="39" t="str">
        <f>IF($D55="","Vazio",IF(COUNTIF($D$2:$D$369,$D55)&gt;1,"Duplicado","Único"))</f>
        <v>Único</v>
      </c>
      <c r="G55" s="40" t="str">
        <f>IF(TRIM(Base_Original!D55)="","",SUBSTITUTE(TRIM(Base_Original!D55),"anos",""))</f>
        <v>35</v>
      </c>
      <c r="H55" s="50" t="s">
        <v>909</v>
      </c>
      <c r="I55" s="51" t="s">
        <v>909</v>
      </c>
      <c r="J55" s="33"/>
      <c r="K55" s="42" t="s">
        <v>101</v>
      </c>
      <c r="L55" s="42" t="str">
        <f>PROPER(Base_Original!G55)</f>
        <v>Campina</v>
      </c>
      <c r="M55" s="43">
        <v>28000</v>
      </c>
      <c r="N55" s="43">
        <f>IF(ISNUMBER(Base_Original!I55),Base_Original!I55,IF(RIGHT(Base_Original!I55,7)=" moedas",VALUE(LEFT(Base_Original!I55,LEN(Base_Original!I55)-7)),Base_Original!I55))</f>
        <v>76500</v>
      </c>
      <c r="O55" s="44" t="str">
        <f>IF(AND($N55&gt;50000,$Q55="Sim"),"Negada","Aprovada")</f>
        <v>Aprovada</v>
      </c>
      <c r="P55" s="45">
        <f>IF(AND($T55="Negada",$O55="Negada"),0,IF($B55="Ativo",$U55*8%,"0"))</f>
        <v>2560</v>
      </c>
      <c r="Q55" s="46" t="str">
        <f>IF(OR(Base_Original!J55="Sim",Base_Original!J55="sim",Base_Original!J55="SIM"),"Sim",IF(OR(Base_Original!J55="Não",Base_Original!J55="não",Base_Original!J55="NÃO",Base_Original!J55="Nao"),"Não",IF(Base_Original!J55="","vazio",Base_Original!J55)))</f>
        <v>Não</v>
      </c>
      <c r="R55" s="46">
        <f>IF(ISNUMBER(Base_Original!K55),Base_Original!K55,IF(RIGHT(Base_Original!K55,9)=" batalhas",VALUE(LEFT(Base_Original!K55,LEN(Base_Original!K55)-9)),Base_Original!K55))</f>
        <v>39</v>
      </c>
      <c r="S55" s="42" t="str">
        <f>IF($R55="vazio","vazio",IF($R55&lt;=10,"Baixo",IF($R55&lt;=25,"Médio","Alto")))</f>
        <v>Alto</v>
      </c>
      <c r="T55" s="42" t="str">
        <f>IF(AND($S55="Alto",$Q55="Sim"),"Negada","Aprovada")</f>
        <v>Aprovada</v>
      </c>
      <c r="U55" s="43">
        <v>32000</v>
      </c>
    </row>
    <row r="56" spans="1:21">
      <c r="A56" s="47" t="s">
        <v>910</v>
      </c>
      <c r="B56" s="37" t="str">
        <f>IF(Base_Original!A56="","vazio",IF(Base_Original!A56="ATIVO","Ativo",IF(Base_Original!A56="INATIVO","Inativo",Base_Original!A56)))</f>
        <v>Inativo</v>
      </c>
      <c r="C56" s="37" t="str">
        <f>PROPER(Base_Original!B56)</f>
        <v>Bronn Manderly</v>
      </c>
      <c r="D56" s="38" t="s">
        <v>171</v>
      </c>
      <c r="E56" s="39" t="str">
        <f>IF($D56="","Vazio",IF(LEN(SUBSTITUTE(SUBSTITUTE($D56&amp;"",".",""),"-",""))&lt;&gt;11,"Inválido","OK"))</f>
        <v>OK</v>
      </c>
      <c r="F56" s="39" t="str">
        <f>IF($D56="","Vazio",IF(COUNTIF($D$2:$D$369,$D56)&gt;1,"Duplicado","Único"))</f>
        <v>Único</v>
      </c>
      <c r="G56" s="40" t="str">
        <f>IF(TRIM(Base_Original!D56)="","",SUBSTITUTE(TRIM(Base_Original!D56),"anos",""))</f>
        <v>69</v>
      </c>
      <c r="H56" s="50">
        <f>IF($J56="","Vazio",DATEDIF($J56,DATE(2026,9,10),"Y"))</f>
        <v>69</v>
      </c>
      <c r="I5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56" s="33">
        <v>20785</v>
      </c>
      <c r="K56" s="42" t="s">
        <v>40</v>
      </c>
      <c r="L56" s="42" t="str">
        <f>PROPER(Base_Original!G56)</f>
        <v>Norte</v>
      </c>
      <c r="M56" s="43">
        <v>16000</v>
      </c>
      <c r="N56" s="43">
        <f>IF(ISNUMBER(Base_Original!I56),Base_Original!I56,IF(RIGHT(Base_Original!I56,7)=" moedas",VALUE(LEFT(Base_Original!I56,LEN(Base_Original!I56)-7)),Base_Original!I56))</f>
        <v>48000</v>
      </c>
      <c r="O56" s="44" t="str">
        <f>IF(AND($N56&gt;50000,$Q56="Sim"),"Negada","Aprovada")</f>
        <v>Aprovada</v>
      </c>
      <c r="P56" s="45" t="str">
        <f>IF(AND($T56="Negada",$O56="Negada"),0,IF($B56="Ativo",$U56*8%,"0"))</f>
        <v>0</v>
      </c>
      <c r="Q56" s="46" t="str">
        <f>IF(OR(Base_Original!J56="Sim",Base_Original!J56="sim",Base_Original!J56="SIM"),"Sim",IF(OR(Base_Original!J56="Não",Base_Original!J56="não",Base_Original!J56="NÃO",Base_Original!J56="Nao"),"Não",IF(Base_Original!J56="","vazio",Base_Original!J56)))</f>
        <v>Não</v>
      </c>
      <c r="R56" s="46">
        <f>IF(ISNUMBER(Base_Original!K56),Base_Original!K56,IF(RIGHT(Base_Original!K56,9)=" batalhas",VALUE(LEFT(Base_Original!K56,LEN(Base_Original!K56)-9)),Base_Original!K56))</f>
        <v>29</v>
      </c>
      <c r="S56" s="42" t="str">
        <f>IF($R56="vazio","vazio",IF($R56&lt;=10,"Baixo",IF($R56&lt;=25,"Médio","Alto")))</f>
        <v>Alto</v>
      </c>
      <c r="T56" s="42" t="str">
        <f>IF(AND($S56="Alto",$Q56="Sim"),"Negada","Aprovada")</f>
        <v>Aprovada</v>
      </c>
      <c r="U56" s="43">
        <v>74500</v>
      </c>
    </row>
    <row r="57" spans="1:21">
      <c r="A57" s="47" t="s">
        <v>911</v>
      </c>
      <c r="B57" s="37" t="str">
        <f>IF(Base_Original!A57="","vazio",IF(Base_Original!A57="ATIVO","Ativo",IF(Base_Original!A57="INATIVO","Inativo",Base_Original!A57)))</f>
        <v>Ativo</v>
      </c>
      <c r="C57" s="37" t="str">
        <f>PROPER(Base_Original!B57)</f>
        <v>Bronn Royce</v>
      </c>
      <c r="D57" s="38">
        <v>36900</v>
      </c>
      <c r="E57" s="39" t="str">
        <f>IF($D57="","Vazio",IF(LEN(SUBSTITUTE(SUBSTITUTE($D57&amp;"",".",""),"-",""))&lt;&gt;11,"Inválido","OK"))</f>
        <v>Inválido</v>
      </c>
      <c r="F57" s="39" t="str">
        <f>IF($D57="","Vazio",IF(COUNTIF($D$2:$D$369,$D57)&gt;1,"Duplicado","Único"))</f>
        <v>Duplicado</v>
      </c>
      <c r="G57" s="40" t="str">
        <f>IF(TRIM(Base_Original!D57)="","",SUBSTITUTE(TRIM(Base_Original!D57),"anos",""))</f>
        <v>61</v>
      </c>
      <c r="H57" s="50">
        <f>IF($J57="","Vazio",DATEDIF($J57,DATE(2026,9,10),"Y"))</f>
        <v>61</v>
      </c>
      <c r="I5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57" s="33">
        <v>23928</v>
      </c>
      <c r="K57" s="42" t="s">
        <v>37</v>
      </c>
      <c r="L57" s="42" t="str">
        <f>PROPER(Base_Original!G57)</f>
        <v>Terras Da Tempestade</v>
      </c>
      <c r="M57" s="43">
        <v>22900</v>
      </c>
      <c r="N57" s="43">
        <f>IF(ISNUMBER(Base_Original!I57),Base_Original!I57,IF(RIGHT(Base_Original!I57,7)=" moedas",VALUE(LEFT(Base_Original!I57,LEN(Base_Original!I57)-7)),Base_Original!I57))</f>
        <v>7500</v>
      </c>
      <c r="O57" s="44" t="str">
        <f>IF(AND($N57&gt;50000,$Q57="Sim"),"Negada","Aprovada")</f>
        <v>Aprovada</v>
      </c>
      <c r="P57" s="45">
        <f>IF(AND($T57="Negada",$O57="Negada"),0,IF($B57="Ativo",$U57*8%,"0"))</f>
        <v>5840</v>
      </c>
      <c r="Q57" s="46" t="str">
        <f>IF(OR(Base_Original!J57="Sim",Base_Original!J57="sim",Base_Original!J57="SIM"),"Sim",IF(OR(Base_Original!J57="Não",Base_Original!J57="não",Base_Original!J57="NÃO",Base_Original!J57="Nao"),"Não",IF(Base_Original!J57="","vazio",Base_Original!J57)))</f>
        <v>Não</v>
      </c>
      <c r="R57" s="46">
        <f>IF(ISNUMBER(Base_Original!K57),Base_Original!K57,IF(RIGHT(Base_Original!K57,9)=" batalhas",VALUE(LEFT(Base_Original!K57,LEN(Base_Original!K57)-9)),Base_Original!K57))</f>
        <v>12</v>
      </c>
      <c r="S57" s="42" t="str">
        <f>IF($R57="vazio","vazio",IF($R57&lt;=10,"Baixo",IF($R57&lt;=25,"Médio","Alto")))</f>
        <v>Médio</v>
      </c>
      <c r="T57" s="42" t="str">
        <f>IF(AND($S57="Alto",$Q57="Sim"),"Negada","Aprovada")</f>
        <v>Aprovada</v>
      </c>
      <c r="U57" s="43">
        <v>73000</v>
      </c>
    </row>
    <row r="58" spans="1:21">
      <c r="A58" s="47" t="s">
        <v>912</v>
      </c>
      <c r="B58" s="37" t="str">
        <f>IF(Base_Original!A58="","vazio",IF(Base_Original!A58="ATIVO","Ativo",IF(Base_Original!A58="INATIVO","Inativo",Base_Original!A58)))</f>
        <v>Ativo</v>
      </c>
      <c r="C58" s="37" t="str">
        <f>PROPER(Base_Original!B58)</f>
        <v>Bronn Royce</v>
      </c>
      <c r="D58" s="38">
        <v>36900</v>
      </c>
      <c r="E58" s="39" t="str">
        <f>IF($D58="","Vazio",IF(LEN(SUBSTITUTE(SUBSTITUTE($D58&amp;"",".",""),"-",""))&lt;&gt;11,"Inválido","OK"))</f>
        <v>Inválido</v>
      </c>
      <c r="F58" s="39" t="str">
        <f>IF($D58="","Vazio",IF(COUNTIF($D$2:$D$369,$D58)&gt;1,"Duplicado","Único"))</f>
        <v>Duplicado</v>
      </c>
      <c r="G58" s="40" t="str">
        <f>IF(TRIM(Base_Original!D58)="","",SUBSTITUTE(TRIM(Base_Original!D58),"anos",""))</f>
        <v>61</v>
      </c>
      <c r="H58" s="50">
        <f>IF($J58="","Vazio",DATEDIF($J58,DATE(2026,9,10),"Y"))</f>
        <v>61</v>
      </c>
      <c r="I5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58" s="33">
        <v>23928</v>
      </c>
      <c r="K58" s="42" t="s">
        <v>37</v>
      </c>
      <c r="L58" s="42" t="str">
        <f>PROPER(Base_Original!G58)</f>
        <v>Terras Da Tempestade</v>
      </c>
      <c r="M58" s="43">
        <v>22900</v>
      </c>
      <c r="N58" s="43">
        <f>IF(ISNUMBER(Base_Original!I58),Base_Original!I58,IF(RIGHT(Base_Original!I58,7)=" moedas",VALUE(LEFT(Base_Original!I58,LEN(Base_Original!I58)-7)),Base_Original!I58))</f>
        <v>7500</v>
      </c>
      <c r="O58" s="44" t="str">
        <f>IF(AND($N58&gt;50000,$Q58="Sim"),"Negada","Aprovada")</f>
        <v>Aprovada</v>
      </c>
      <c r="P58" s="45">
        <f>IF(AND($T58="Negada",$O58="Negada"),0,IF($B58="Ativo",$U58*8%,"0"))</f>
        <v>2640</v>
      </c>
      <c r="Q58" s="46" t="str">
        <f>IF(OR(Base_Original!J58="Sim",Base_Original!J58="sim",Base_Original!J58="SIM"),"Sim",IF(OR(Base_Original!J58="Não",Base_Original!J58="não",Base_Original!J58="NÃO",Base_Original!J58="Nao"),"Não",IF(Base_Original!J58="","vazio",Base_Original!J58)))</f>
        <v>Não</v>
      </c>
      <c r="R58" s="46">
        <f>IF(ISNUMBER(Base_Original!K58),Base_Original!K58,IF(RIGHT(Base_Original!K58,9)=" batalhas",VALUE(LEFT(Base_Original!K58,LEN(Base_Original!K58)-9)),Base_Original!K58))</f>
        <v>12</v>
      </c>
      <c r="S58" s="42" t="str">
        <f>IF($R58="vazio","vazio",IF($R58&lt;=10,"Baixo",IF($R58&lt;=25,"Médio","Alto")))</f>
        <v>Médio</v>
      </c>
      <c r="T58" s="42" t="str">
        <f>IF(AND($S58="Alto",$Q58="Sim"),"Negada","Aprovada")</f>
        <v>Aprovada</v>
      </c>
      <c r="U58" s="43">
        <v>33000</v>
      </c>
    </row>
    <row r="59" spans="1:21">
      <c r="A59" s="47" t="s">
        <v>913</v>
      </c>
      <c r="B59" s="37" t="str">
        <f>IF(Base_Original!A59="","vazio",IF(Base_Original!A59="ATIVO","Ativo",IF(Base_Original!A59="INATIVO","Inativo",Base_Original!A59)))</f>
        <v>Ativo</v>
      </c>
      <c r="C59" s="37" t="str">
        <f>PROPER(Base_Original!B59)</f>
        <v>Bronn Stark</v>
      </c>
      <c r="D59" s="38" t="s">
        <v>175</v>
      </c>
      <c r="E59" s="39" t="str">
        <f>IF($D59="","Vazio",IF(LEN(SUBSTITUTE(SUBSTITUTE($D59&amp;"",".",""),"-",""))&lt;&gt;11,"Inválido","OK"))</f>
        <v>OK</v>
      </c>
      <c r="F59" s="39" t="str">
        <f>IF($D59="","Vazio",IF(COUNTIF($D$2:$D$369,$D59)&gt;1,"Duplicado","Único"))</f>
        <v>Único</v>
      </c>
      <c r="G59" s="40" t="str">
        <f>IF(TRIM(Base_Original!D59)="","",SUBSTITUTE(TRIM(Base_Original!D59),"anos",""))</f>
        <v>30</v>
      </c>
      <c r="H59" s="50">
        <f>IF($J59="","Vazio",DATEDIF($J59,DATE(2026,9,10),"Y"))</f>
        <v>30</v>
      </c>
      <c r="I5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59" s="33">
        <v>35180</v>
      </c>
      <c r="K59" s="42" t="s">
        <v>75</v>
      </c>
      <c r="L59" s="42" t="str">
        <f>PROPER(Base_Original!G59)</f>
        <v>Norte</v>
      </c>
      <c r="M59" s="43">
        <v>13800</v>
      </c>
      <c r="N59" s="43">
        <f>IF(ISNUMBER(Base_Original!I59),Base_Original!I59,IF(RIGHT(Base_Original!I59,7)=" moedas",VALUE(LEFT(Base_Original!I59,LEN(Base_Original!I59)-7)),Base_Original!I59))</f>
        <v>42000</v>
      </c>
      <c r="O59" s="44" t="str">
        <f>IF(AND($N59&gt;50000,$Q59="Sim"),"Negada","Aprovada")</f>
        <v>Aprovada</v>
      </c>
      <c r="P59" s="45">
        <f>IF(AND($T59="Negada",$O59="Negada"),0,IF($B59="Ativo",$U59*8%,"0"))</f>
        <v>560</v>
      </c>
      <c r="Q59" s="46" t="str">
        <f>IF(OR(Base_Original!J59="Sim",Base_Original!J59="sim",Base_Original!J59="SIM"),"Sim",IF(OR(Base_Original!J59="Não",Base_Original!J59="não",Base_Original!J59="NÃO",Base_Original!J59="Nao"),"Não",IF(Base_Original!J59="","vazio",Base_Original!J59)))</f>
        <v>vazio</v>
      </c>
      <c r="R59" s="46">
        <f>IF(ISNUMBER(Base_Original!K59),Base_Original!K59,IF(RIGHT(Base_Original!K59,9)=" batalhas",VALUE(LEFT(Base_Original!K59,LEN(Base_Original!K59)-9)),Base_Original!K59))</f>
        <v>29</v>
      </c>
      <c r="S59" s="42" t="str">
        <f>IF($R59="vazio","vazio",IF($R59&lt;=10,"Baixo",IF($R59&lt;=25,"Médio","Alto")))</f>
        <v>Alto</v>
      </c>
      <c r="T59" s="42" t="str">
        <f>IF(AND($S59="Alto",$Q59="Sim"),"Negada","Aprovada")</f>
        <v>Aprovada</v>
      </c>
      <c r="U59" s="43">
        <v>7000</v>
      </c>
    </row>
    <row r="60" spans="1:21">
      <c r="A60" s="47" t="s">
        <v>914</v>
      </c>
      <c r="B60" s="37" t="str">
        <f>IF(Base_Original!A60="","vazio",IF(Base_Original!A60="ATIVO","Ativo",IF(Base_Original!A60="INATIVO","Inativo",Base_Original!A60)))</f>
        <v>vazio</v>
      </c>
      <c r="C60" s="37" t="str">
        <f>PROPER(Base_Original!B60)</f>
        <v>Bronn Umber</v>
      </c>
      <c r="D60" s="38" t="s">
        <v>177</v>
      </c>
      <c r="E60" s="39" t="str">
        <f>IF($D60="","Vazio",IF(LEN(SUBSTITUTE(SUBSTITUTE($D60&amp;"",".",""),"-",""))&lt;&gt;11,"Inválido","OK"))</f>
        <v>OK</v>
      </c>
      <c r="F60" s="39" t="str">
        <f>IF($D60="","Vazio",IF(COUNTIF($D$2:$D$369,$D60)&gt;1,"Duplicado","Único"))</f>
        <v>Único</v>
      </c>
      <c r="G60" s="40" t="str">
        <f>IF(TRIM(Base_Original!D60)="","",SUBSTITUTE(TRIM(Base_Original!D60),"anos",""))</f>
        <v>56</v>
      </c>
      <c r="H60" s="50">
        <f>IF($J60="","Vazio",DATEDIF($J60,DATE(2026,9,10),"Y"))</f>
        <v>56</v>
      </c>
      <c r="I6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60" s="33">
        <v>25705</v>
      </c>
      <c r="K60" s="42" t="s">
        <v>104</v>
      </c>
      <c r="L60" s="42" t="str">
        <f>PROPER(Base_Original!G60)</f>
        <v>Terras Da Coroa</v>
      </c>
      <c r="M60" s="43">
        <v>11100</v>
      </c>
      <c r="N60" s="43">
        <f>IF(ISNUMBER(Base_Original!I60),Base_Original!I60,IF(RIGHT(Base_Original!I60,7)=" moedas",VALUE(LEFT(Base_Original!I60,LEN(Base_Original!I60)-7)),Base_Original!I60))</f>
        <v>13000</v>
      </c>
      <c r="O60" s="44" t="str">
        <f>IF(AND($N60&gt;50000,$Q60="Sim"),"Negada","Aprovada")</f>
        <v>Aprovada</v>
      </c>
      <c r="P60" s="45" t="str">
        <f>IF(AND($T60="Negada",$O60="Negada"),0,IF($B60="Ativo",$U60*8%,"0"))</f>
        <v>0</v>
      </c>
      <c r="Q60" s="46" t="str">
        <f>IF(OR(Base_Original!J60="Sim",Base_Original!J60="sim",Base_Original!J60="SIM"),"Sim",IF(OR(Base_Original!J60="Não",Base_Original!J60="não",Base_Original!J60="NÃO",Base_Original!J60="Nao"),"Não",IF(Base_Original!J60="","vazio",Base_Original!J60)))</f>
        <v>Não</v>
      </c>
      <c r="R60" s="46">
        <f>IF(ISNUMBER(Base_Original!K60),Base_Original!K60,IF(RIGHT(Base_Original!K60,9)=" batalhas",VALUE(LEFT(Base_Original!K60,LEN(Base_Original!K60)-9)),Base_Original!K60))</f>
        <v>38</v>
      </c>
      <c r="S60" s="42" t="str">
        <f>IF($R60="vazio","vazio",IF($R60&lt;=10,"Baixo",IF($R60&lt;=25,"Médio","Alto")))</f>
        <v>Alto</v>
      </c>
      <c r="T60" s="42" t="str">
        <f>IF(AND($S60="Alto",$Q60="Sim"),"Negada","Aprovada")</f>
        <v>Aprovada</v>
      </c>
      <c r="U60" s="43">
        <v>88000</v>
      </c>
    </row>
    <row r="61" spans="1:21">
      <c r="A61" s="47" t="s">
        <v>915</v>
      </c>
      <c r="B61" s="37" t="str">
        <f>IF(Base_Original!A61="","vazio",IF(Base_Original!A61="ATIVO","Ativo",IF(Base_Original!A61="INATIVO","Inativo",Base_Original!A61)))</f>
        <v>Ativo</v>
      </c>
      <c r="C61" s="37" t="str">
        <f>PROPER(Base_Original!B61)</f>
        <v>Catelyn  Dayne</v>
      </c>
      <c r="D61" s="38" t="s">
        <v>179</v>
      </c>
      <c r="E61" s="39" t="str">
        <f>IF($D61="","Vazio",IF(LEN(SUBSTITUTE(SUBSTITUTE($D61&amp;"",".",""),"-",""))&lt;&gt;11,"Inválido","OK"))</f>
        <v>OK</v>
      </c>
      <c r="F61" s="39" t="str">
        <f>IF($D61="","Vazio",IF(COUNTIF($D$2:$D$369,$D61)&gt;1,"Duplicado","Único"))</f>
        <v>Único</v>
      </c>
      <c r="G61" s="40" t="str">
        <f>IF(TRIM(Base_Original!D61)="","",SUBSTITUTE(TRIM(Base_Original!D61),"anos",""))</f>
        <v>68</v>
      </c>
      <c r="H61" s="50">
        <f>IF($J61="","Vazio",DATEDIF($J61,DATE(2026,9,10),"Y"))</f>
        <v>68</v>
      </c>
      <c r="I6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61" s="33">
        <v>21145</v>
      </c>
      <c r="K61" s="42" t="s">
        <v>180</v>
      </c>
      <c r="L61" s="42" t="str">
        <f>PROPER(Base_Original!G61)</f>
        <v>Terras Da Tempestade</v>
      </c>
      <c r="M61" s="43">
        <v>24500</v>
      </c>
      <c r="N61" s="43">
        <f>IF(ISNUMBER(Base_Original!I61),Base_Original!I61,IF(RIGHT(Base_Original!I61,7)=" moedas",VALUE(LEFT(Base_Original!I61,LEN(Base_Original!I61)-7)),Base_Original!I61))</f>
        <v>16500</v>
      </c>
      <c r="O61" s="44" t="str">
        <f>IF(AND($N61&gt;50000,$Q61="Sim"),"Negada","Aprovada")</f>
        <v>Aprovada</v>
      </c>
      <c r="P61" s="45">
        <f>IF(AND($T61="Negada",$O61="Negada"),0,IF($B61="Ativo",$U61*8%,"0"))</f>
        <v>2760</v>
      </c>
      <c r="Q61" s="46" t="str">
        <f>IF(OR(Base_Original!J61="Sim",Base_Original!J61="sim",Base_Original!J61="SIM"),"Sim",IF(OR(Base_Original!J61="Não",Base_Original!J61="não",Base_Original!J61="NÃO",Base_Original!J61="Nao"),"Não",IF(Base_Original!J61="","vazio",Base_Original!J61)))</f>
        <v>Não</v>
      </c>
      <c r="R61" s="46">
        <f>IF(ISNUMBER(Base_Original!K61),Base_Original!K61,IF(RIGHT(Base_Original!K61,9)=" batalhas",VALUE(LEFT(Base_Original!K61,LEN(Base_Original!K61)-9)),Base_Original!K61))</f>
        <v>22</v>
      </c>
      <c r="S61" s="42" t="str">
        <f>IF($R61="vazio","vazio",IF($R61&lt;=10,"Baixo",IF($R61&lt;=25,"Médio","Alto")))</f>
        <v>Médio</v>
      </c>
      <c r="T61" s="42" t="str">
        <f>IF(AND($S61="Alto",$Q61="Sim"),"Negada","Aprovada")</f>
        <v>Aprovada</v>
      </c>
      <c r="U61" s="43">
        <v>34500</v>
      </c>
    </row>
    <row r="62" spans="1:21">
      <c r="A62" s="47" t="s">
        <v>916</v>
      </c>
      <c r="B62" s="37" t="str">
        <f>IF(Base_Original!A62="","vazio",IF(Base_Original!A62="ATIVO","Ativo",IF(Base_Original!A62="INATIVO","Inativo",Base_Original!A62)))</f>
        <v>Ativo</v>
      </c>
      <c r="C62" s="37" t="str">
        <f>PROPER(Base_Original!B62)</f>
        <v>Catelyn Cerwyn</v>
      </c>
      <c r="D62" s="38" t="s">
        <v>182</v>
      </c>
      <c r="E62" s="39" t="str">
        <f>IF($D62="","Vazio",IF(LEN(SUBSTITUTE(SUBSTITUTE($D62&amp;"",".",""),"-",""))&lt;&gt;11,"Inválido","OK"))</f>
        <v>OK</v>
      </c>
      <c r="F62" s="39" t="str">
        <f>IF($D62="","Vazio",IF(COUNTIF($D$2:$D$369,$D62)&gt;1,"Duplicado","Único"))</f>
        <v>Único</v>
      </c>
      <c r="G62" s="40" t="str">
        <f>IF(TRIM(Base_Original!D62)="","",SUBSTITUTE(TRIM(Base_Original!D62),"anos",""))</f>
        <v>60</v>
      </c>
      <c r="H62" s="50">
        <f>IF($J62="","Vazio",DATEDIF($J62,DATE(2026,9,10),"Y"))</f>
        <v>60</v>
      </c>
      <c r="I6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62" s="33">
        <v>24082</v>
      </c>
      <c r="K62" s="42" t="s">
        <v>150</v>
      </c>
      <c r="L62" s="42" t="str">
        <f>PROPER(Base_Original!G62)</f>
        <v>Gargalo</v>
      </c>
      <c r="M62" s="43">
        <v>13800</v>
      </c>
      <c r="N62" s="43">
        <f>IF(ISNUMBER(Base_Original!I62),Base_Original!I62,IF(RIGHT(Base_Original!I62,7)=" moedas",VALUE(LEFT(Base_Original!I62,LEN(Base_Original!I62)-7)),Base_Original!I62))</f>
        <v>45500</v>
      </c>
      <c r="O62" s="44" t="str">
        <f>IF(AND($N62&gt;50000,$Q62="Sim"),"Negada","Aprovada")</f>
        <v>Aprovada</v>
      </c>
      <c r="P62" s="45">
        <f>IF(AND($T62="Negada",$O62="Negada"),0,IF($B62="Ativo",$U62*8%,"0"))</f>
        <v>1400</v>
      </c>
      <c r="Q62" s="46" t="str">
        <f>IF(OR(Base_Original!J62="Sim",Base_Original!J62="sim",Base_Original!J62="SIM"),"Sim",IF(OR(Base_Original!J62="Não",Base_Original!J62="não",Base_Original!J62="NÃO",Base_Original!J62="Nao"),"Não",IF(Base_Original!J62="","vazio",Base_Original!J62)))</f>
        <v>Não</v>
      </c>
      <c r="R62" s="46">
        <f>IF(ISNUMBER(Base_Original!K62),Base_Original!K62,IF(RIGHT(Base_Original!K62,9)=" batalhas",VALUE(LEFT(Base_Original!K62,LEN(Base_Original!K62)-9)),Base_Original!K62))</f>
        <v>30</v>
      </c>
      <c r="S62" s="42" t="str">
        <f>IF($R62="vazio","vazio",IF($R62&lt;=10,"Baixo",IF($R62&lt;=25,"Médio","Alto")))</f>
        <v>Alto</v>
      </c>
      <c r="T62" s="42" t="str">
        <f>IF(AND($S62="Alto",$Q62="Sim"),"Negada","Aprovada")</f>
        <v>Aprovada</v>
      </c>
      <c r="U62" s="43">
        <v>17500</v>
      </c>
    </row>
    <row r="63" spans="1:21">
      <c r="A63" s="47" t="s">
        <v>917</v>
      </c>
      <c r="B63" s="37" t="str">
        <f>IF(Base_Original!A63="","vazio",IF(Base_Original!A63="ATIVO","Ativo",IF(Base_Original!A63="INATIVO","Inativo",Base_Original!A63)))</f>
        <v>Ativo</v>
      </c>
      <c r="C63" s="37" t="str">
        <f>PROPER(Base_Original!B63)</f>
        <v>Catelyn Lannister</v>
      </c>
      <c r="D63" s="38" t="s">
        <v>184</v>
      </c>
      <c r="E63" s="39" t="str">
        <f>IF($D63="","Vazio",IF(LEN(SUBSTITUTE(SUBSTITUTE($D63&amp;"",".",""),"-",""))&lt;&gt;11,"Inválido","OK"))</f>
        <v>OK</v>
      </c>
      <c r="F63" s="39" t="str">
        <f>IF($D63="","Vazio",IF(COUNTIF($D$2:$D$369,$D63)&gt;1,"Duplicado","Único"))</f>
        <v>Único</v>
      </c>
      <c r="G63" s="40" t="str">
        <f>IF(TRIM(Base_Original!D63)="","",SUBSTITUTE(TRIM(Base_Original!D63),"anos",""))</f>
        <v>33</v>
      </c>
      <c r="H63" s="50">
        <f>IF($J63="","Vazio",DATEDIF($J63,DATE(2026,9,10),"Y"))</f>
        <v>33</v>
      </c>
      <c r="I6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63" s="33">
        <v>34070</v>
      </c>
      <c r="K63" s="42" t="s">
        <v>37</v>
      </c>
      <c r="L63" s="42" t="str">
        <f>PROPER(Base_Original!G63)</f>
        <v>Terras Da Tempestade</v>
      </c>
      <c r="M63" s="43">
        <v>29300</v>
      </c>
      <c r="N63" s="43">
        <f>IF(ISNUMBER(Base_Original!I63),Base_Original!I63,IF(RIGHT(Base_Original!I63,7)=" moedas",VALUE(LEFT(Base_Original!I63,LEN(Base_Original!I63)-7)),Base_Original!I63))</f>
        <v>69000</v>
      </c>
      <c r="O63" s="44" t="str">
        <f>IF(AND($N63&gt;50000,$Q63="Sim"),"Negada","Aprovada")</f>
        <v>Negada</v>
      </c>
      <c r="P63" s="45">
        <f>IF(AND($T63="Negada",$O63="Negada"),0,IF($B63="Ativo",$U63*8%,"0"))</f>
        <v>360</v>
      </c>
      <c r="Q63" s="46" t="str">
        <f>IF(OR(Base_Original!J63="Sim",Base_Original!J63="sim",Base_Original!J63="SIM"),"Sim",IF(OR(Base_Original!J63="Não",Base_Original!J63="não",Base_Original!J63="NÃO",Base_Original!J63="Nao"),"Não",IF(Base_Original!J63="","vazio",Base_Original!J63)))</f>
        <v>Sim</v>
      </c>
      <c r="R63" s="46">
        <f>IF(ISNUMBER(Base_Original!K63),Base_Original!K63,IF(RIGHT(Base_Original!K63,9)=" batalhas",VALUE(LEFT(Base_Original!K63,LEN(Base_Original!K63)-9)),Base_Original!K63))</f>
        <v>0</v>
      </c>
      <c r="S63" s="42" t="str">
        <f>IF($R63="vazio","vazio",IF($R63&lt;=10,"Baixo",IF($R63&lt;=25,"Médio","Alto")))</f>
        <v>Baixo</v>
      </c>
      <c r="T63" s="42" t="str">
        <f>IF(AND($S63="Alto",$Q63="Sim"),"Negada","Aprovada")</f>
        <v>Aprovada</v>
      </c>
      <c r="U63" s="43">
        <v>4500</v>
      </c>
    </row>
    <row r="64" spans="1:21">
      <c r="A64" s="47" t="s">
        <v>918</v>
      </c>
      <c r="B64" s="37" t="str">
        <f>IF(Base_Original!A64="","vazio",IF(Base_Original!A64="ATIVO","Ativo",IF(Base_Original!A64="INATIVO","Inativo",Base_Original!A64)))</f>
        <v>Ativo</v>
      </c>
      <c r="C64" s="37" t="str">
        <f>PROPER(Base_Original!B64)</f>
        <v>Catelyn Mallister</v>
      </c>
      <c r="D64" s="38" t="s">
        <v>187</v>
      </c>
      <c r="E64" s="39" t="str">
        <f>IF($D64="","Vazio",IF(LEN(SUBSTITUTE(SUBSTITUTE($D64&amp;"",".",""),"-",""))&lt;&gt;11,"Inválido","OK"))</f>
        <v>OK</v>
      </c>
      <c r="F64" s="39" t="str">
        <f>IF($D64="","Vazio",IF(COUNTIF($D$2:$D$369,$D64)&gt;1,"Duplicado","Único"))</f>
        <v>Único</v>
      </c>
      <c r="G64" s="40" t="str">
        <f>IF(TRIM(Base_Original!D64)="","",SUBSTITUTE(TRIM(Base_Original!D64),"anos",""))</f>
        <v>63</v>
      </c>
      <c r="H64" s="50">
        <f>IF($J64="","Vazio",DATEDIF($J64,DATE(2026,9,10),"Y"))</f>
        <v>63</v>
      </c>
      <c r="I6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64" s="33">
        <v>23006</v>
      </c>
      <c r="K64" s="42" t="s">
        <v>188</v>
      </c>
      <c r="L64" s="42" t="str">
        <f>PROPER(Base_Original!G64)</f>
        <v/>
      </c>
      <c r="M64" s="43">
        <v>11200</v>
      </c>
      <c r="N64" s="43" t="s">
        <v>880</v>
      </c>
      <c r="O64" s="44" t="str">
        <f>IF(AND($N64&gt;50000,$Q64="Sim"),"Negada","Aprovada")</f>
        <v>Aprovada</v>
      </c>
      <c r="P64" s="45">
        <f>IF(AND($T64="Negada",$O64="Negada"),0,IF($B64="Ativo",$U64*8%,"0"))</f>
        <v>6680</v>
      </c>
      <c r="Q64" s="46" t="str">
        <f>IF(OR(Base_Original!J64="Sim",Base_Original!J64="sim",Base_Original!J64="SIM"),"Sim",IF(OR(Base_Original!J64="Não",Base_Original!J64="não",Base_Original!J64="NÃO",Base_Original!J64="Nao"),"Não",IF(Base_Original!J64="","vazio",Base_Original!J64)))</f>
        <v>vazio</v>
      </c>
      <c r="R64" s="46">
        <f>IF(ISNUMBER(Base_Original!K64),Base_Original!K64,IF(RIGHT(Base_Original!K64,9)=" batalhas",VALUE(LEFT(Base_Original!K64,LEN(Base_Original!K64)-9)),Base_Original!K64))</f>
        <v>41</v>
      </c>
      <c r="S64" s="42" t="str">
        <f>IF($R64="vazio","vazio",IF($R64&lt;=10,"Baixo",IF($R64&lt;=25,"Médio","Alto")))</f>
        <v>Alto</v>
      </c>
      <c r="T64" s="42" t="str">
        <f>IF(AND($S64="Alto",$Q64="Sim"),"Negada","Aprovada")</f>
        <v>Aprovada</v>
      </c>
      <c r="U64" s="43">
        <v>83500</v>
      </c>
    </row>
    <row r="65" spans="1:21">
      <c r="A65" s="47" t="s">
        <v>919</v>
      </c>
      <c r="B65" s="37" t="str">
        <f>IF(Base_Original!A65="","vazio",IF(Base_Original!A65="ATIVO","Ativo",IF(Base_Original!A65="INATIVO","Inativo",Base_Original!A65)))</f>
        <v>Ativo</v>
      </c>
      <c r="C65" s="37" t="str">
        <f>PROPER(Base_Original!B65)</f>
        <v>Catelyn Tarly</v>
      </c>
      <c r="D65" s="38">
        <v>16300</v>
      </c>
      <c r="E65" s="39" t="str">
        <f>IF($D65="","Vazio",IF(LEN(SUBSTITUTE(SUBSTITUTE($D65&amp;"",".",""),"-",""))&lt;&gt;11,"Inválido","OK"))</f>
        <v>Inválido</v>
      </c>
      <c r="F65" s="39" t="str">
        <f>IF($D65="","Vazio",IF(COUNTIF($D$2:$D$369,$D65)&gt;1,"Duplicado","Único"))</f>
        <v>Único</v>
      </c>
      <c r="G65" s="40" t="str">
        <f>IF(TRIM(Base_Original!D65)="","",SUBSTITUTE(TRIM(Base_Original!D65),"anos",""))</f>
        <v xml:space="preserve">27 </v>
      </c>
      <c r="H65" s="50">
        <f>IF($J65="","Vazio",DATEDIF($J65,DATE(2026,9,10),"Y"))</f>
        <v>27</v>
      </c>
      <c r="I6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65" s="33">
        <v>36255</v>
      </c>
      <c r="K65" s="42" t="s">
        <v>40</v>
      </c>
      <c r="L65" s="42" t="str">
        <f>PROPER(Base_Original!G65)</f>
        <v>Norte</v>
      </c>
      <c r="M65" s="43">
        <v>14000</v>
      </c>
      <c r="N65" s="43">
        <f>IF(ISNUMBER(Base_Original!I65),Base_Original!I65,IF(RIGHT(Base_Original!I65,7)=" moedas",VALUE(LEFT(Base_Original!I65,LEN(Base_Original!I65)-7)),Base_Original!I65))</f>
        <v>63500</v>
      </c>
      <c r="O65" s="44" t="str">
        <f>IF(AND($N65&gt;50000,$Q65="Sim"),"Negada","Aprovada")</f>
        <v>Aprovada</v>
      </c>
      <c r="P65" s="45">
        <f>IF(AND($T65="Negada",$O65="Negada"),0,IF($B65="Ativo",$U65*8%,"0"))</f>
        <v>6960</v>
      </c>
      <c r="Q65" s="46" t="str">
        <f>IF(OR(Base_Original!J65="Sim",Base_Original!J65="sim",Base_Original!J65="SIM"),"Sim",IF(OR(Base_Original!J65="Não",Base_Original!J65="não",Base_Original!J65="NÃO",Base_Original!J65="Nao"),"Não",IF(Base_Original!J65="","vazio",Base_Original!J65)))</f>
        <v>Não</v>
      </c>
      <c r="R65" s="46">
        <f>IF(ISNUMBER(Base_Original!K65),Base_Original!K65,IF(RIGHT(Base_Original!K65,9)=" batalhas",VALUE(LEFT(Base_Original!K65,LEN(Base_Original!K65)-9)),Base_Original!K65))</f>
        <v>24</v>
      </c>
      <c r="S65" s="42" t="str">
        <f>IF($R65="vazio","vazio",IF($R65&lt;=10,"Baixo",IF($R65&lt;=25,"Médio","Alto")))</f>
        <v>Médio</v>
      </c>
      <c r="T65" s="42" t="str">
        <f>IF(AND($S65="Alto",$Q65="Sim"),"Negada","Aprovada")</f>
        <v>Aprovada</v>
      </c>
      <c r="U65" s="43">
        <v>87000</v>
      </c>
    </row>
    <row r="66" spans="1:21">
      <c r="A66" s="47" t="s">
        <v>920</v>
      </c>
      <c r="B66" s="37" t="str">
        <f>IF(Base_Original!A66="","vazio",IF(Base_Original!A66="ATIVO","Ativo",IF(Base_Original!A66="INATIVO","Inativo",Base_Original!A66)))</f>
        <v>Ativo</v>
      </c>
      <c r="C66" s="37" t="str">
        <f>PROPER(Base_Original!B66)</f>
        <v>Catelyn Umber</v>
      </c>
      <c r="D66" s="38">
        <v>9900</v>
      </c>
      <c r="E66" s="39" t="str">
        <f>IF($D66="","Vazio",IF(LEN(SUBSTITUTE(SUBSTITUTE($D66&amp;"",".",""),"-",""))&lt;&gt;11,"Inválido","OK"))</f>
        <v>Inválido</v>
      </c>
      <c r="F66" s="39" t="str">
        <f>IF($D66="","Vazio",IF(COUNTIF($D$2:$D$369,$D66)&gt;1,"Duplicado","Único"))</f>
        <v>Único</v>
      </c>
      <c r="G66" s="40" t="str">
        <f>IF(TRIM(Base_Original!D66)="","",SUBSTITUTE(TRIM(Base_Original!D66),"anos",""))</f>
        <v>64</v>
      </c>
      <c r="H66" s="50">
        <f>IF($J66="","Vazio",DATEDIF($J66,DATE(2026,9,10),"Y"))</f>
        <v>64</v>
      </c>
      <c r="I6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66" s="33">
        <v>22828</v>
      </c>
      <c r="K66" s="42" t="s">
        <v>160</v>
      </c>
      <c r="L66" s="42" t="str">
        <f>PROPER(Base_Original!G66)</f>
        <v>Terras Fluviais</v>
      </c>
      <c r="M66" s="43">
        <v>2900</v>
      </c>
      <c r="N66" s="43">
        <f>IF(ISNUMBER(Base_Original!I66),Base_Original!I66,IF(RIGHT(Base_Original!I66,7)=" moedas",VALUE(LEFT(Base_Original!I66,LEN(Base_Original!I66)-7)),Base_Original!I66))</f>
        <v>76000</v>
      </c>
      <c r="O66" s="44" t="str">
        <f>IF(AND($N66&gt;50000,$Q66="Sim"),"Negada","Aprovada")</f>
        <v>Aprovada</v>
      </c>
      <c r="P66" s="45">
        <f>IF(AND($T66="Negada",$O66="Negada"),0,IF($B66="Ativo",$U66*8%,"0"))</f>
        <v>5800</v>
      </c>
      <c r="Q66" s="46" t="str">
        <f>IF(OR(Base_Original!J66="Sim",Base_Original!J66="sim",Base_Original!J66="SIM"),"Sim",IF(OR(Base_Original!J66="Não",Base_Original!J66="não",Base_Original!J66="NÃO",Base_Original!J66="Nao"),"Não",IF(Base_Original!J66="","vazio",Base_Original!J66)))</f>
        <v>Não</v>
      </c>
      <c r="R66" s="46">
        <f>IF(ISNUMBER(Base_Original!K66),Base_Original!K66,IF(RIGHT(Base_Original!K66,9)=" batalhas",VALUE(LEFT(Base_Original!K66,LEN(Base_Original!K66)-9)),Base_Original!K66))</f>
        <v>32</v>
      </c>
      <c r="S66" s="42" t="str">
        <f>IF($R66="vazio","vazio",IF($R66&lt;=10,"Baixo",IF($R66&lt;=25,"Médio","Alto")))</f>
        <v>Alto</v>
      </c>
      <c r="T66" s="42" t="str">
        <f>IF(AND($S66="Alto",$Q66="Sim"),"Negada","Aprovada")</f>
        <v>Aprovada</v>
      </c>
      <c r="U66" s="43">
        <v>72500</v>
      </c>
    </row>
    <row r="67" spans="1:21">
      <c r="A67" s="47" t="s">
        <v>921</v>
      </c>
      <c r="B67" s="37" t="str">
        <f>IF(Base_Original!A67="","vazio",IF(Base_Original!A67="ATIVO","Ativo",IF(Base_Original!A67="INATIVO","Inativo",Base_Original!A67)))</f>
        <v>Ativo</v>
      </c>
      <c r="C67" s="37" t="str">
        <f>PROPER(Base_Original!B67)</f>
        <v>Catelyn Westerling</v>
      </c>
      <c r="D67" s="38">
        <v>35800</v>
      </c>
      <c r="E67" s="39" t="str">
        <f>IF($D67="","Vazio",IF(LEN(SUBSTITUTE(SUBSTITUTE($D67&amp;"",".",""),"-",""))&lt;&gt;11,"Inválido","OK"))</f>
        <v>Inválido</v>
      </c>
      <c r="F67" s="39" t="str">
        <f>IF($D67="","Vazio",IF(COUNTIF($D$2:$D$369,$D67)&gt;1,"Duplicado","Único"))</f>
        <v>Único</v>
      </c>
      <c r="G67" s="40" t="str">
        <f>IF(TRIM(Base_Original!D67)="","",SUBSTITUTE(TRIM(Base_Original!D67),"anos",""))</f>
        <v>70</v>
      </c>
      <c r="H67" s="50">
        <f>IF($J67="","Vazio",DATEDIF($J67,DATE(2026,9,10),"Y"))</f>
        <v>70</v>
      </c>
      <c r="I6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67" s="33">
        <v>20515</v>
      </c>
      <c r="K67" s="42" t="s">
        <v>62</v>
      </c>
      <c r="L67" s="42" t="str">
        <f>PROPER(Base_Original!G67)</f>
        <v>Essos</v>
      </c>
      <c r="M67" s="43">
        <v>19500</v>
      </c>
      <c r="N67" s="43">
        <f>IF(ISNUMBER(Base_Original!I67),Base_Original!I67,IF(RIGHT(Base_Original!I67,7)=" moedas",VALUE(LEFT(Base_Original!I67,LEN(Base_Original!I67)-7)),Base_Original!I67))</f>
        <v>62000</v>
      </c>
      <c r="O67" s="44" t="str">
        <f>IF(AND($N67&gt;50000,$Q67="Sim"),"Negada","Aprovada")</f>
        <v>Negada</v>
      </c>
      <c r="P67" s="45">
        <f>IF(AND($T67="Negada",$O67="Negada"),0,IF($B67="Ativo",$U67*8%,"0"))</f>
        <v>0</v>
      </c>
      <c r="Q67" s="46" t="str">
        <f>IF(OR(Base_Original!J67="Sim",Base_Original!J67="sim",Base_Original!J67="SIM"),"Sim",IF(OR(Base_Original!J67="Não",Base_Original!J67="não",Base_Original!J67="NÃO",Base_Original!J67="Nao"),"Não",IF(Base_Original!J67="","vazio",Base_Original!J67)))</f>
        <v>Sim</v>
      </c>
      <c r="R67" s="46">
        <f>IF(ISNUMBER(Base_Original!K67),Base_Original!K67,IF(RIGHT(Base_Original!K67,9)=" batalhas",VALUE(LEFT(Base_Original!K67,LEN(Base_Original!K67)-9)),Base_Original!K67))</f>
        <v>45</v>
      </c>
      <c r="S67" s="42" t="str">
        <f>IF($R67="vazio","vazio",IF($R67&lt;=10,"Baixo",IF($R67&lt;=25,"Médio","Alto")))</f>
        <v>Alto</v>
      </c>
      <c r="T67" s="42" t="str">
        <f>IF(AND($S67="Alto",$Q67="Sim"),"Negada","Aprovada")</f>
        <v>Negada</v>
      </c>
      <c r="U67" s="43">
        <v>35500</v>
      </c>
    </row>
    <row r="68" spans="1:21">
      <c r="A68" s="47" t="s">
        <v>922</v>
      </c>
      <c r="B68" s="37" t="str">
        <f>IF(Base_Original!A68="","vazio",IF(Base_Original!A68="ATIVO","Ativo",IF(Base_Original!A68="INATIVO","Inativo",Base_Original!A68)))</f>
        <v>Ativoo</v>
      </c>
      <c r="C68" s="37" t="str">
        <f>PROPER(Base_Original!B68)</f>
        <v>Catelyn Yronwood</v>
      </c>
      <c r="D68" s="38" t="s">
        <v>197</v>
      </c>
      <c r="E68" s="39" t="str">
        <f>IF($D68="","Vazio",IF(LEN(SUBSTITUTE(SUBSTITUTE($D68&amp;"",".",""),"-",""))&lt;&gt;11,"Inválido","OK"))</f>
        <v>OK</v>
      </c>
      <c r="F68" s="39" t="str">
        <f>IF($D68="","Vazio",IF(COUNTIF($D$2:$D$369,$D68)&gt;1,"Duplicado","Único"))</f>
        <v>Único</v>
      </c>
      <c r="G68" s="40" t="str">
        <f>IF(TRIM(Base_Original!D68)="","",SUBSTITUTE(TRIM(Base_Original!D68),"anos",""))</f>
        <v>38</v>
      </c>
      <c r="H68" s="50">
        <f>IF($J68="","Vazio",DATEDIF($J68,DATE(2026,9,10),"Y"))</f>
        <v>38</v>
      </c>
      <c r="I6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68" s="33">
        <v>32166</v>
      </c>
      <c r="K68" s="42" t="s">
        <v>40</v>
      </c>
      <c r="L68" s="42" t="str">
        <f>PROPER(Base_Original!G68)</f>
        <v>Norte</v>
      </c>
      <c r="M68" s="43">
        <v>19500</v>
      </c>
      <c r="N68" s="43">
        <f>IF(ISNUMBER(Base_Original!I68),Base_Original!I68,IF(RIGHT(Base_Original!I68,7)=" moedas",VALUE(LEFT(Base_Original!I68,LEN(Base_Original!I68)-7)),Base_Original!I68))</f>
        <v>39000</v>
      </c>
      <c r="O68" s="44" t="str">
        <f>IF(AND($N68&gt;50000,$Q68="Sim"),"Negada","Aprovada")</f>
        <v>Aprovada</v>
      </c>
      <c r="P68" s="45" t="str">
        <f>IF(AND($T68="Negada",$O68="Negada"),0,IF($B68="Ativo",$U68*8%,"0"))</f>
        <v>0</v>
      </c>
      <c r="Q68" s="46" t="str">
        <f>IF(OR(Base_Original!J68="Sim",Base_Original!J68="sim",Base_Original!J68="SIM"),"Sim",IF(OR(Base_Original!J68="Não",Base_Original!J68="não",Base_Original!J68="NÃO",Base_Original!J68="Nao"),"Não",IF(Base_Original!J68="","vazio",Base_Original!J68)))</f>
        <v>Não</v>
      </c>
      <c r="R68" s="46">
        <f>IF(ISNUMBER(Base_Original!K68),Base_Original!K68,IF(RIGHT(Base_Original!K68,9)=" batalhas",VALUE(LEFT(Base_Original!K68,LEN(Base_Original!K68)-9)),Base_Original!K68))</f>
        <v>25</v>
      </c>
      <c r="S68" s="42" t="str">
        <f>IF($R68="vazio","vazio",IF($R68&lt;=10,"Baixo",IF($R68&lt;=25,"Médio","Alto")))</f>
        <v>Médio</v>
      </c>
      <c r="T68" s="42" t="str">
        <f>IF(AND($S68="Alto",$Q68="Sim"),"Negada","Aprovada")</f>
        <v>Aprovada</v>
      </c>
      <c r="U68" s="43">
        <v>88500</v>
      </c>
    </row>
    <row r="69" spans="1:21">
      <c r="A69" s="47" t="s">
        <v>923</v>
      </c>
      <c r="B69" s="37" t="str">
        <f>IF(Base_Original!A69="","vazio",IF(Base_Original!A69="ATIVO","Ativo",IF(Base_Original!A69="INATIVO","Inativo",Base_Original!A69)))</f>
        <v>Inativo</v>
      </c>
      <c r="C69" s="37" t="str">
        <f>PROPER(Base_Original!B69)</f>
        <v>Cersei  Marbrand</v>
      </c>
      <c r="D69" s="38" t="s">
        <v>200</v>
      </c>
      <c r="E69" s="39" t="str">
        <f>IF($D69="","Vazio",IF(LEN(SUBSTITUTE(SUBSTITUTE($D69&amp;"",".",""),"-",""))&lt;&gt;11,"Inválido","OK"))</f>
        <v>OK</v>
      </c>
      <c r="F69" s="39" t="str">
        <f>IF($D69="","Vazio",IF(COUNTIF($D$2:$D$369,$D69)&gt;1,"Duplicado","Único"))</f>
        <v>Único</v>
      </c>
      <c r="G69" s="40" t="str">
        <f>IF(TRIM(Base_Original!D69)="","",SUBSTITUTE(TRIM(Base_Original!D69),"anos",""))</f>
        <v>57</v>
      </c>
      <c r="H69" s="50">
        <f>IF($J69="","Vazio",DATEDIF($J69,DATE(2026,9,10),"Y"))</f>
        <v>57</v>
      </c>
      <c r="I6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69" s="33">
        <v>25324</v>
      </c>
      <c r="K69" s="42" t="s">
        <v>75</v>
      </c>
      <c r="L69" s="42" t="str">
        <f>PROPER(Base_Original!G69)</f>
        <v>Norte</v>
      </c>
      <c r="M69" s="43">
        <v>9500</v>
      </c>
      <c r="N69" s="43">
        <f>IF(ISNUMBER(Base_Original!I69),Base_Original!I69,IF(RIGHT(Base_Original!I69,7)=" moedas",VALUE(LEFT(Base_Original!I69,LEN(Base_Original!I69)-7)),Base_Original!I69))</f>
        <v>58000</v>
      </c>
      <c r="O69" s="44" t="str">
        <f>IF(AND($N69&gt;50000,$Q69="Sim"),"Negada","Aprovada")</f>
        <v>Aprovada</v>
      </c>
      <c r="P69" s="45" t="str">
        <f>IF(AND($T69="Negada",$O69="Negada"),0,IF($B69="Ativo",$U69*8%,"0"))</f>
        <v>0</v>
      </c>
      <c r="Q69" s="46" t="str">
        <f>IF(OR(Base_Original!J69="Sim",Base_Original!J69="sim",Base_Original!J69="SIM"),"Sim",IF(OR(Base_Original!J69="Não",Base_Original!J69="não",Base_Original!J69="NÃO",Base_Original!J69="Nao"),"Não",IF(Base_Original!J69="","vazio",Base_Original!J69)))</f>
        <v>Não</v>
      </c>
      <c r="R69" s="46">
        <f>IF(ISNUMBER(Base_Original!K69),Base_Original!K69,IF(RIGHT(Base_Original!K69,9)=" batalhas",VALUE(LEFT(Base_Original!K69,LEN(Base_Original!K69)-9)),Base_Original!K69))</f>
        <v>23</v>
      </c>
      <c r="S69" s="42" t="str">
        <f>IF($R69="vazio","vazio",IF($R69&lt;=10,"Baixo",IF($R69&lt;=25,"Médio","Alto")))</f>
        <v>Médio</v>
      </c>
      <c r="T69" s="42" t="str">
        <f>IF(AND($S69="Alto",$Q69="Sim"),"Negada","Aprovada")</f>
        <v>Aprovada</v>
      </c>
      <c r="U69" s="43">
        <v>81500</v>
      </c>
    </row>
    <row r="70" spans="1:21">
      <c r="A70" s="47" t="s">
        <v>924</v>
      </c>
      <c r="B70" s="37" t="str">
        <f>IF(Base_Original!A70="","vazio",IF(Base_Original!A70="ATIVO","Ativo",IF(Base_Original!A70="INATIVO","Inativo",Base_Original!A70)))</f>
        <v>Ativo</v>
      </c>
      <c r="C70" s="37" t="str">
        <f>PROPER(Base_Original!B70)</f>
        <v>Cersei Clegane</v>
      </c>
      <c r="D70" s="38" t="s">
        <v>202</v>
      </c>
      <c r="E70" s="39" t="str">
        <f>IF($D70="","Vazio",IF(LEN(SUBSTITUTE(SUBSTITUTE($D70&amp;"",".",""),"-",""))&lt;&gt;11,"Inválido","OK"))</f>
        <v>OK</v>
      </c>
      <c r="F70" s="39" t="str">
        <f>IF($D70="","Vazio",IF(COUNTIF($D$2:$D$369,$D70)&gt;1,"Duplicado","Único"))</f>
        <v>Único</v>
      </c>
      <c r="G70" s="40" t="str">
        <f>IF(TRIM(Base_Original!D70)="","",SUBSTITUTE(TRIM(Base_Original!D70),"anos",""))</f>
        <v>24</v>
      </c>
      <c r="H70" s="50">
        <f>IF($J70="","Vazio",DATEDIF($J70,DATE(2026,9,10),"Y"))</f>
        <v>24</v>
      </c>
      <c r="I7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70" s="33">
        <v>37259</v>
      </c>
      <c r="K70" s="42" t="s">
        <v>34</v>
      </c>
      <c r="L70" s="42" t="str">
        <f>PROPER(Base_Original!G70)</f>
        <v>Dorne</v>
      </c>
      <c r="M70" s="43">
        <v>25200</v>
      </c>
      <c r="N70" s="43">
        <f>IF(ISNUMBER(Base_Original!I70),Base_Original!I70,IF(RIGHT(Base_Original!I70,7)=" moedas",VALUE(LEFT(Base_Original!I70,LEN(Base_Original!I70)-7)),Base_Original!I70))</f>
        <v>0</v>
      </c>
      <c r="O70" s="44" t="str">
        <f>IF(AND($N70&gt;50000,$Q70="Sim"),"Negada","Aprovada")</f>
        <v>Aprovada</v>
      </c>
      <c r="P70" s="45">
        <f>IF(AND($T70="Negada",$O70="Negada"),0,IF($B70="Ativo",$U70*8%,"0"))</f>
        <v>5560</v>
      </c>
      <c r="Q70" s="46" t="str">
        <f>IF(OR(Base_Original!J70="Sim",Base_Original!J70="sim",Base_Original!J70="SIM"),"Sim",IF(OR(Base_Original!J70="Não",Base_Original!J70="não",Base_Original!J70="NÃO",Base_Original!J70="Nao"),"Não",IF(Base_Original!J70="","vazio",Base_Original!J70)))</f>
        <v>Não</v>
      </c>
      <c r="R70" s="46">
        <f>IF(ISNUMBER(Base_Original!K70),Base_Original!K70,IF(RIGHT(Base_Original!K70,9)=" batalhas",VALUE(LEFT(Base_Original!K70,LEN(Base_Original!K70)-9)),Base_Original!K70))</f>
        <v>10</v>
      </c>
      <c r="S70" s="42" t="str">
        <f>IF($R70="vazio","vazio",IF($R70&lt;=10,"Baixo",IF($R70&lt;=25,"Médio","Alto")))</f>
        <v>Baixo</v>
      </c>
      <c r="T70" s="42" t="str">
        <f>IF(AND($S70="Alto",$Q70="Sim"),"Negada","Aprovada")</f>
        <v>Aprovada</v>
      </c>
      <c r="U70" s="43">
        <v>69500</v>
      </c>
    </row>
    <row r="71" spans="1:21">
      <c r="A71" s="47" t="s">
        <v>925</v>
      </c>
      <c r="B71" s="37" t="str">
        <f>IF(Base_Original!A71="","vazio",IF(Base_Original!A71="ATIVO","Ativo",IF(Base_Original!A71="INATIVO","Inativo",Base_Original!A71)))</f>
        <v>Inativo</v>
      </c>
      <c r="C71" s="37" t="str">
        <f>PROPER(Base_Original!B71)</f>
        <v>Cersei Glover</v>
      </c>
      <c r="D71" s="38" t="s">
        <v>204</v>
      </c>
      <c r="E71" s="39" t="str">
        <f>IF($D71="","Vazio",IF(LEN(SUBSTITUTE(SUBSTITUTE($D71&amp;"",".",""),"-",""))&lt;&gt;11,"Inválido","OK"))</f>
        <v>OK</v>
      </c>
      <c r="F71" s="39" t="str">
        <f>IF($D71="","Vazio",IF(COUNTIF($D$2:$D$369,$D71)&gt;1,"Duplicado","Único"))</f>
        <v>Único</v>
      </c>
      <c r="G71" s="40" t="str">
        <f>IF(TRIM(Base_Original!D71)="","",SUBSTITUTE(TRIM(Base_Original!D71),"anos",""))</f>
        <v>49</v>
      </c>
      <c r="H71" s="50">
        <f>IF($J71="","Vazio",DATEDIF($J71,DATE(2026,9,10),"Y"))</f>
        <v>49</v>
      </c>
      <c r="I7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71" s="33">
        <v>28286</v>
      </c>
      <c r="K71" s="42" t="s">
        <v>44</v>
      </c>
      <c r="L71" s="42" t="str">
        <f>PROPER(Base_Original!G71)</f>
        <v>Ilhas De Ferro</v>
      </c>
      <c r="M71" s="43">
        <v>21900</v>
      </c>
      <c r="N71" s="43">
        <f>IF(ISNUMBER(Base_Original!I71),Base_Original!I71,IF(RIGHT(Base_Original!I71,7)=" moedas",VALUE(LEFT(Base_Original!I71,LEN(Base_Original!I71)-7)),Base_Original!I71))</f>
        <v>69000</v>
      </c>
      <c r="O71" s="44" t="str">
        <f>IF(AND($N71&gt;50000,$Q71="Sim"),"Negada","Aprovada")</f>
        <v>Aprovada</v>
      </c>
      <c r="P71" s="45" t="str">
        <f>IF(AND($T71="Negada",$O71="Negada"),0,IF($B71="Ativo",$U71*8%,"0"))</f>
        <v>0</v>
      </c>
      <c r="Q71" s="46" t="str">
        <f>IF(OR(Base_Original!J71="Sim",Base_Original!J71="sim",Base_Original!J71="SIM"),"Sim",IF(OR(Base_Original!J71="Não",Base_Original!J71="não",Base_Original!J71="NÃO",Base_Original!J71="Nao"),"Não",IF(Base_Original!J71="","vazio",Base_Original!J71)))</f>
        <v>Não</v>
      </c>
      <c r="R71" s="46">
        <f>IF(ISNUMBER(Base_Original!K71),Base_Original!K71,IF(RIGHT(Base_Original!K71,9)=" batalhas",VALUE(LEFT(Base_Original!K71,LEN(Base_Original!K71)-9)),Base_Original!K71))</f>
        <v>4</v>
      </c>
      <c r="S71" s="42" t="str">
        <f>IF($R71="vazio","vazio",IF($R71&lt;=10,"Baixo",IF($R71&lt;=25,"Médio","Alto")))</f>
        <v>Baixo</v>
      </c>
      <c r="T71" s="42" t="str">
        <f>IF(AND($S71="Alto",$Q71="Sim"),"Negada","Aprovada")</f>
        <v>Aprovada</v>
      </c>
      <c r="U71" s="43">
        <v>80500</v>
      </c>
    </row>
    <row r="72" spans="1:21">
      <c r="A72" s="47" t="s">
        <v>926</v>
      </c>
      <c r="B72" s="37" t="str">
        <f>IF(Base_Original!A72="","vazio",IF(Base_Original!A72="ATIVO","Ativo",IF(Base_Original!A72="INATIVO","Inativo",Base_Original!A72)))</f>
        <v>Ativo</v>
      </c>
      <c r="C72" s="37" t="str">
        <f>PROPER(Base_Original!B72)</f>
        <v>Cersei Greyjoy</v>
      </c>
      <c r="D72" s="38" t="s">
        <v>207</v>
      </c>
      <c r="E72" s="39" t="str">
        <f>IF($D72="","Vazio",IF(LEN(SUBSTITUTE(SUBSTITUTE($D72&amp;"",".",""),"-",""))&lt;&gt;11,"Inválido","OK"))</f>
        <v>OK</v>
      </c>
      <c r="F72" s="39" t="str">
        <f>IF($D72="","Vazio",IF(COUNTIF($D$2:$D$369,$D72)&gt;1,"Duplicado","Único"))</f>
        <v>Único</v>
      </c>
      <c r="G72" s="40" t="str">
        <f>IF(TRIM(Base_Original!D72)="","",SUBSTITUTE(TRIM(Base_Original!D72),"anos",""))</f>
        <v>47</v>
      </c>
      <c r="H72" s="50">
        <f>IF($J72="","Vazio",DATEDIF($J72,DATE(2026,9,10),"Y"))</f>
        <v>47</v>
      </c>
      <c r="I7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72" s="33">
        <v>28841</v>
      </c>
      <c r="K72" s="42" t="s">
        <v>34</v>
      </c>
      <c r="L72" s="42" t="str">
        <f>PROPER(Base_Original!G72)</f>
        <v>Dorne</v>
      </c>
      <c r="M72" s="43">
        <v>21300</v>
      </c>
      <c r="N72" s="43">
        <f>IF(ISNUMBER(Base_Original!I72),Base_Original!I72,IF(RIGHT(Base_Original!I72,7)=" moedas",VALUE(LEFT(Base_Original!I72,LEN(Base_Original!I72)-7)),Base_Original!I72))</f>
        <v>62000</v>
      </c>
      <c r="O72" s="44" t="str">
        <f>IF(AND($N72&gt;50000,$Q72="Sim"),"Negada","Aprovada")</f>
        <v>Negada</v>
      </c>
      <c r="P72" s="45">
        <f>IF(AND($T72="Negada",$O72="Negada"),0,IF($B72="Ativo",$U72*8%,"0"))</f>
        <v>0</v>
      </c>
      <c r="Q72" s="46" t="str">
        <f>IF(OR(Base_Original!J72="Sim",Base_Original!J72="sim",Base_Original!J72="SIM"),"Sim",IF(OR(Base_Original!J72="Não",Base_Original!J72="não",Base_Original!J72="NÃO",Base_Original!J72="Nao"),"Não",IF(Base_Original!J72="","vazio",Base_Original!J72)))</f>
        <v>Sim</v>
      </c>
      <c r="R72" s="46">
        <f>IF(ISNUMBER(Base_Original!K72),Base_Original!K72,IF(RIGHT(Base_Original!K72,9)=" batalhas",VALUE(LEFT(Base_Original!K72,LEN(Base_Original!K72)-9)),Base_Original!K72))</f>
        <v>37</v>
      </c>
      <c r="S72" s="42" t="str">
        <f>IF($R72="vazio","vazio",IF($R72&lt;=10,"Baixo",IF($R72&lt;=25,"Médio","Alto")))</f>
        <v>Alto</v>
      </c>
      <c r="T72" s="42" t="str">
        <f>IF(AND($S72="Alto",$Q72="Sim"),"Negada","Aprovada")</f>
        <v>Negada</v>
      </c>
      <c r="U72" s="43">
        <v>92500</v>
      </c>
    </row>
    <row r="73" spans="1:21">
      <c r="A73" s="47" t="s">
        <v>927</v>
      </c>
      <c r="B73" s="37" t="str">
        <f>IF(Base_Original!A73="","vazio",IF(Base_Original!A73="ATIVO","Ativo",IF(Base_Original!A73="INATIVO","Inativo",Base_Original!A73)))</f>
        <v>Ativo</v>
      </c>
      <c r="C73" s="37" t="str">
        <f>PROPER(Base_Original!B73)</f>
        <v>Cersei Stark</v>
      </c>
      <c r="D73" s="38" t="s">
        <v>210</v>
      </c>
      <c r="E73" s="39" t="str">
        <f>IF($D73="","Vazio",IF(LEN(SUBSTITUTE(SUBSTITUTE($D73&amp;"",".",""),"-",""))&lt;&gt;11,"Inválido","OK"))</f>
        <v>OK</v>
      </c>
      <c r="F73" s="39" t="str">
        <f>IF($D73="","Vazio",IF(COUNTIF($D$2:$D$369,$D73)&gt;1,"Duplicado","Único"))</f>
        <v>Único</v>
      </c>
      <c r="G73" s="40" t="str">
        <f>IF(TRIM(Base_Original!D73)="","",SUBSTITUTE(TRIM(Base_Original!D73),"anos",""))</f>
        <v>25</v>
      </c>
      <c r="H73" s="50">
        <f>IF($J73="","Vazio",DATEDIF($J73,DATE(2026,9,10),"Y"))</f>
        <v>25</v>
      </c>
      <c r="I7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73" s="33">
        <v>37091</v>
      </c>
      <c r="K73" s="42" t="s">
        <v>51</v>
      </c>
      <c r="L73" s="42" t="str">
        <f>PROPER(Base_Original!G73)</f>
        <v>Vale</v>
      </c>
      <c r="M73" s="43">
        <v>28800</v>
      </c>
      <c r="N73" s="43" t="s">
        <v>880</v>
      </c>
      <c r="O73" s="44" t="str">
        <f>IF(AND($N73&gt;50000,$Q73="Sim"),"Negada","Aprovada")</f>
        <v>Aprovada</v>
      </c>
      <c r="P73" s="45">
        <f>IF(AND($T73="Negada",$O73="Negada"),0,IF($B73="Ativo",$U73*8%,"0"))</f>
        <v>3720</v>
      </c>
      <c r="Q73" s="46" t="str">
        <f>IF(OR(Base_Original!J73="Sim",Base_Original!J73="sim",Base_Original!J73="SIM"),"Sim",IF(OR(Base_Original!J73="Não",Base_Original!J73="não",Base_Original!J73="NÃO",Base_Original!J73="Nao"),"Não",IF(Base_Original!J73="","vazio",Base_Original!J73)))</f>
        <v>Não</v>
      </c>
      <c r="R73" s="46">
        <f>IF(ISNUMBER(Base_Original!K73),Base_Original!K73,IF(RIGHT(Base_Original!K73,9)=" batalhas",VALUE(LEFT(Base_Original!K73,LEN(Base_Original!K73)-9)),Base_Original!K73))</f>
        <v>12</v>
      </c>
      <c r="S73" s="42" t="str">
        <f>IF($R73="vazio","vazio",IF($R73&lt;=10,"Baixo",IF($R73&lt;=25,"Médio","Alto")))</f>
        <v>Médio</v>
      </c>
      <c r="T73" s="42" t="str">
        <f>IF(AND($S73="Alto",$Q73="Sim"),"Negada","Aprovada")</f>
        <v>Aprovada</v>
      </c>
      <c r="U73" s="43">
        <v>46500</v>
      </c>
    </row>
    <row r="74" spans="1:21">
      <c r="A74" s="47" t="s">
        <v>928</v>
      </c>
      <c r="B74" s="37" t="str">
        <f>IF(Base_Original!A75="","vazio",IF(Base_Original!A75="ATIVO","Ativo",IF(Base_Original!A75="INATIVO","Inativo",Base_Original!A75)))</f>
        <v>Inativo</v>
      </c>
      <c r="C74" s="37" t="str">
        <f>PROPER(Base_Original!B75)</f>
        <v>Cersei Tarth</v>
      </c>
      <c r="D74" s="38" t="s">
        <v>212</v>
      </c>
      <c r="E74" s="39" t="str">
        <f>IF($D74="","Vazio",IF(LEN(SUBSTITUTE(SUBSTITUTE($D74&amp;"",".",""),"-",""))&lt;&gt;11,"Inválido","OK"))</f>
        <v>OK</v>
      </c>
      <c r="F74" s="39" t="str">
        <f>IF($D74="","Vazio",IF(COUNTIF($D$2:$D$369,$D74)&gt;1,"Duplicado","Único"))</f>
        <v>Único</v>
      </c>
      <c r="G74" s="40" t="str">
        <f>IF(TRIM(Base_Original!D74)="","",SUBSTITUTE(TRIM(Base_Original!D74),"anos",""))</f>
        <v>46</v>
      </c>
      <c r="H74" s="50">
        <f>IF($J74="","Vazio",DATEDIF($J74,DATE(2026,9,10),"Y"))</f>
        <v>46</v>
      </c>
      <c r="I7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74" s="33">
        <v>29427</v>
      </c>
      <c r="K74" s="42" t="s">
        <v>75</v>
      </c>
      <c r="L74" s="42" t="str">
        <f>PROPER(Base_Original!G74)</f>
        <v>Terras Fluviais</v>
      </c>
      <c r="M74" s="43" t="s">
        <v>880</v>
      </c>
      <c r="N74" s="43">
        <f>IF(ISNUMBER(Base_Original!I75),Base_Original!I75,IF(RIGHT(Base_Original!I75,7)=" moedas",VALUE(LEFT(Base_Original!I75,LEN(Base_Original!I75)-7)),Base_Original!I75))</f>
        <v>37500</v>
      </c>
      <c r="O74" s="44" t="str">
        <f>IF(AND($N74&gt;50000,$Q74="Sim"),"Negada","Aprovada")</f>
        <v>Aprovada</v>
      </c>
      <c r="P74" s="45" t="str">
        <f>IF(AND($T74="Negada",$O74="Negada"),0,IF($B74="Ativo",$U74*8%,"0"))</f>
        <v>0</v>
      </c>
      <c r="Q74" s="46" t="str">
        <f>IF(OR(Base_Original!J75="Sim",Base_Original!J75="sim",Base_Original!J75="SIM"),"Sim",IF(OR(Base_Original!J75="Não",Base_Original!J75="não",Base_Original!J75="NÃO",Base_Original!J75="Nao"),"Não",IF(Base_Original!J75="","vazio",Base_Original!J75)))</f>
        <v>Não</v>
      </c>
      <c r="R74" s="46" t="s">
        <v>880</v>
      </c>
      <c r="S74" s="42" t="str">
        <f>IF($R74="vazio","vazio",IF($R74&lt;=10,"Baixo",IF($R74&lt;=25,"Médio","Alto")))</f>
        <v>vazio</v>
      </c>
      <c r="T74" s="42" t="str">
        <f>IF(AND($S74="Alto",$Q74="Sim"),"Negada","Aprovada")</f>
        <v>Aprovada</v>
      </c>
      <c r="U74" s="43">
        <v>34500</v>
      </c>
    </row>
    <row r="75" spans="1:21">
      <c r="A75" s="47" t="s">
        <v>929</v>
      </c>
      <c r="B75" s="37" t="str">
        <f>IF(Base_Original!A74="","vazio",IF(Base_Original!A74="ATIVO","Ativo",IF(Base_Original!A74="INATIVO","Inativo",Base_Original!A74)))</f>
        <v>Inativo</v>
      </c>
      <c r="C75" s="37" t="str">
        <f>PROPER(Base_Original!B74)</f>
        <v>Cersei Tarth</v>
      </c>
      <c r="D75" s="38">
        <v>20300</v>
      </c>
      <c r="E75" s="39" t="str">
        <f>IF($D75="","Vazio",IF(LEN(SUBSTITUTE(SUBSTITUTE($D75&amp;"",".",""),"-",""))&lt;&gt;11,"Inválido","OK"))</f>
        <v>Inválido</v>
      </c>
      <c r="F75" s="39" t="str">
        <f>IF($D75="","Vazio",IF(COUNTIF($D$2:$D$369,$D75)&gt;1,"Duplicado","Único"))</f>
        <v>Duplicado</v>
      </c>
      <c r="G75" s="40" t="str">
        <f>IF(TRIM(Base_Original!D75)="","",SUBSTITUTE(TRIM(Base_Original!D75),"anos",""))</f>
        <v>46</v>
      </c>
      <c r="H75" s="50">
        <f>IF($J75="","Vazio",DATEDIF($J75,DATE(2026,9,10),"Y"))</f>
        <v>46</v>
      </c>
      <c r="I7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75" s="33">
        <v>29427</v>
      </c>
      <c r="K75" s="42" t="s">
        <v>160</v>
      </c>
      <c r="L75" s="42" t="str">
        <f>PROPER(Base_Original!G76)</f>
        <v>Norte</v>
      </c>
      <c r="M75" s="43">
        <v>7300</v>
      </c>
      <c r="N75" s="43">
        <f>IF(ISNUMBER(Base_Original!I74),Base_Original!I74,IF(RIGHT(Base_Original!I74,7)=" moedas",VALUE(LEFT(Base_Original!I74,LEN(Base_Original!I74)-7)),Base_Original!I74))</f>
        <v>37500</v>
      </c>
      <c r="O75" s="44" t="str">
        <f>IF(AND($N75&gt;50000,$Q75="Sim"),"Negada","Aprovada")</f>
        <v>Aprovada</v>
      </c>
      <c r="P75" s="45" t="str">
        <f>IF(AND($T75="Negada",$O75="Negada"),0,IF($B75="Ativo",$U75*8%,"0"))</f>
        <v>0</v>
      </c>
      <c r="Q75" s="46" t="str">
        <f>IF(OR(Base_Original!J74="Sim",Base_Original!J74="sim",Base_Original!J74="SIM"),"Sim",IF(OR(Base_Original!J74="Não",Base_Original!J74="não",Base_Original!J74="NÃO",Base_Original!J74="Nao"),"Não",IF(Base_Original!J74="","vazio",Base_Original!J74)))</f>
        <v>Não</v>
      </c>
      <c r="R75" s="46">
        <f>IF(ISNUMBER(Base_Original!K74),Base_Original!K74,IF(RIGHT(Base_Original!K74,9)=" batalhas",VALUE(LEFT(Base_Original!K74,LEN(Base_Original!K74)-9)),Base_Original!K74))</f>
        <v>0</v>
      </c>
      <c r="S75" s="42" t="str">
        <f>IF($R75="vazio","vazio",IF($R75&lt;=10,"Baixo",IF($R75&lt;=25,"Médio","Alto")))</f>
        <v>Baixo</v>
      </c>
      <c r="T75" s="42" t="str">
        <f>IF(AND($S75="Alto",$Q75="Sim"),"Negada","Aprovada")</f>
        <v>Aprovada</v>
      </c>
      <c r="U75" s="43">
        <v>21500</v>
      </c>
    </row>
    <row r="76" spans="1:21">
      <c r="A76" s="47" t="s">
        <v>930</v>
      </c>
      <c r="B76" s="37" t="str">
        <f>IF(Base_Original!A76="","vazio",IF(Base_Original!A76="ATIVO","Ativo",IF(Base_Original!A76="INATIVO","Inativo",Base_Original!A76)))</f>
        <v>Ativo</v>
      </c>
      <c r="C76" s="37" t="str">
        <f>PROPER(Base_Original!B76)</f>
        <v>Cersei Tarth</v>
      </c>
      <c r="D76" s="38">
        <v>20300</v>
      </c>
      <c r="E76" s="39" t="str">
        <f>IF($D76="","Vazio",IF(LEN(SUBSTITUTE(SUBSTITUTE($D76&amp;"",".",""),"-",""))&lt;&gt;11,"Inválido","OK"))</f>
        <v>Inválido</v>
      </c>
      <c r="F76" s="39" t="str">
        <f>IF($D76="","Vazio",IF(COUNTIF($D$2:$D$369,$D76)&gt;1,"Duplicado","Único"))</f>
        <v>Duplicado</v>
      </c>
      <c r="G76" s="40" t="str">
        <f>IF(TRIM(Base_Original!D76)="","",SUBSTITUTE(TRIM(Base_Original!D76),"anos",""))</f>
        <v>52</v>
      </c>
      <c r="H76" s="50">
        <f>IF($J76="","Vazio",DATEDIF($J76,DATE(2026,9,10),"Y"))</f>
        <v>52</v>
      </c>
      <c r="I7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76" s="33">
        <v>26921</v>
      </c>
      <c r="K76" s="42" t="s">
        <v>160</v>
      </c>
      <c r="L76" s="42" t="str">
        <f>PROPER(Base_Original!G75)</f>
        <v>Terras Fluviais</v>
      </c>
      <c r="M76" s="43" t="s">
        <v>880</v>
      </c>
      <c r="N76" s="43">
        <f>IF(ISNUMBER(Base_Original!I76),Base_Original!I76,IF(RIGHT(Base_Original!I76,7)=" moedas",VALUE(LEFT(Base_Original!I76,LEN(Base_Original!I76)-7)),Base_Original!I76))</f>
        <v>74000</v>
      </c>
      <c r="O76" s="44" t="str">
        <f>IF(AND($N76&gt;50000,$Q76="Sim"),"Negada","Aprovada")</f>
        <v>Aprovada</v>
      </c>
      <c r="P76" s="45">
        <f>IF(AND($T76="Negada",$O76="Negada"),0,IF($B76="Ativo",$U76*8%,"0"))</f>
        <v>6160</v>
      </c>
      <c r="Q76" s="46" t="str">
        <f>IF(OR(Base_Original!J76="Sim",Base_Original!J76="sim",Base_Original!J76="SIM"),"Sim",IF(OR(Base_Original!J76="Não",Base_Original!J76="não",Base_Original!J76="NÃO",Base_Original!J76="Nao"),"Não",IF(Base_Original!J76="","vazio",Base_Original!J76)))</f>
        <v>Não</v>
      </c>
      <c r="R76" s="46" t="s">
        <v>880</v>
      </c>
      <c r="S76" s="42" t="str">
        <f>IF($R76="vazio","vazio",IF($R76&lt;=10,"Baixo",IF($R76&lt;=25,"Médio","Alto")))</f>
        <v>vazio</v>
      </c>
      <c r="T76" s="42" t="str">
        <f>IF(AND($S76="Alto",$Q76="Sim"),"Negada","Aprovada")</f>
        <v>Aprovada</v>
      </c>
      <c r="U76" s="43">
        <v>77000</v>
      </c>
    </row>
    <row r="77" spans="1:21">
      <c r="A77" s="47" t="s">
        <v>931</v>
      </c>
      <c r="B77" s="37" t="str">
        <f>IF(Base_Original!A77="","vazio",IF(Base_Original!A77="ATIVO","Ativo",IF(Base_Original!A77="INATIVO","Inativo",Base_Original!A77)))</f>
        <v>Ativo</v>
      </c>
      <c r="C77" s="37" t="str">
        <f>PROPER(Base_Original!B77)</f>
        <v>Cersei Umber</v>
      </c>
      <c r="D77" s="38" t="s">
        <v>215</v>
      </c>
      <c r="E77" s="39" t="str">
        <f>IF($D77="","Vazio",IF(LEN(SUBSTITUTE(SUBSTITUTE($D77&amp;"",".",""),"-",""))&lt;&gt;11,"Inválido","OK"))</f>
        <v>OK</v>
      </c>
      <c r="F77" s="39" t="str">
        <f>IF($D77="","Vazio",IF(COUNTIF($D$2:$D$369,$D77)&gt;1,"Duplicado","Único"))</f>
        <v>Único</v>
      </c>
      <c r="G77" s="40" t="str">
        <f>IF(TRIM(Base_Original!D77)="","",SUBSTITUTE(TRIM(Base_Original!D77),"anos",""))</f>
        <v>62</v>
      </c>
      <c r="H77" s="50" t="s">
        <v>909</v>
      </c>
      <c r="I77" s="51" t="s">
        <v>909</v>
      </c>
      <c r="J77" s="33"/>
      <c r="K77" s="42" t="s">
        <v>20</v>
      </c>
      <c r="L77" s="42" t="str">
        <f>PROPER(Base_Original!G77)</f>
        <v>Campina</v>
      </c>
      <c r="M77" s="43">
        <v>1900</v>
      </c>
      <c r="N77" s="43">
        <f>IF(ISNUMBER(Base_Original!I77),Base_Original!I77,IF(RIGHT(Base_Original!I77,7)=" moedas",VALUE(LEFT(Base_Original!I77,LEN(Base_Original!I77)-7)),Base_Original!I77))</f>
        <v>3500</v>
      </c>
      <c r="O77" s="44" t="str">
        <f>IF(AND($N77&gt;50000,$Q77="Sim"),"Negada","Aprovada")</f>
        <v>Aprovada</v>
      </c>
      <c r="P77" s="45">
        <f>IF(AND($T77="Negada",$O77="Negada"),0,IF($B77="Ativo",$U77*8%,"0"))</f>
        <v>4960</v>
      </c>
      <c r="Q77" s="46" t="str">
        <f>IF(OR(Base_Original!J77="Sim",Base_Original!J77="sim",Base_Original!J77="SIM"),"Sim",IF(OR(Base_Original!J77="Não",Base_Original!J77="não",Base_Original!J77="NÃO",Base_Original!J77="Nao"),"Não",IF(Base_Original!J77="","vazio",Base_Original!J77)))</f>
        <v>Não</v>
      </c>
      <c r="R77" s="46">
        <f>IF(ISNUMBER(Base_Original!K77),Base_Original!K77,IF(RIGHT(Base_Original!K77,9)=" batalhas",VALUE(LEFT(Base_Original!K77,LEN(Base_Original!K77)-9)),Base_Original!K77))</f>
        <v>19</v>
      </c>
      <c r="S77" s="42" t="str">
        <f>IF($R77="vazio","vazio",IF($R77&lt;=10,"Baixo",IF($R77&lt;=25,"Médio","Alto")))</f>
        <v>Médio</v>
      </c>
      <c r="T77" s="42" t="str">
        <f>IF(AND($S77="Alto",$Q77="Sim"),"Negada","Aprovada")</f>
        <v>Aprovada</v>
      </c>
      <c r="U77" s="43">
        <v>62000</v>
      </c>
    </row>
    <row r="78" spans="1:21">
      <c r="A78" s="47" t="s">
        <v>932</v>
      </c>
      <c r="B78" s="37" t="str">
        <f>IF(Base_Original!A78="","vazio",IF(Base_Original!A78="ATIVO","Ativo",IF(Base_Original!A78="INATIVO","Inativo",Base_Original!A78)))</f>
        <v>Ativo</v>
      </c>
      <c r="C78" s="37" t="str">
        <f>PROPER(Base_Original!B78)</f>
        <v>Daario  Dayne</v>
      </c>
      <c r="D78" s="38" t="s">
        <v>217</v>
      </c>
      <c r="E78" s="39" t="str">
        <f>IF($D78="","Vazio",IF(LEN(SUBSTITUTE(SUBSTITUTE($D78&amp;"",".",""),"-",""))&lt;&gt;11,"Inválido","OK"))</f>
        <v>OK</v>
      </c>
      <c r="F78" s="39" t="str">
        <f>IF($D78="","Vazio",IF(COUNTIF($D$2:$D$369,$D78)&gt;1,"Duplicado","Único"))</f>
        <v>Único</v>
      </c>
      <c r="G78" s="40" t="str">
        <f>IF(TRIM(Base_Original!D78)="","",SUBSTITUTE(TRIM(Base_Original!D78),"anos",""))</f>
        <v>25</v>
      </c>
      <c r="H78" s="50">
        <f>IF($J78="","Vazio",DATEDIF($J78,DATE(2026,9,10),"Y"))</f>
        <v>25</v>
      </c>
      <c r="I7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78" s="33">
        <v>37026</v>
      </c>
      <c r="K78" s="42" t="s">
        <v>37</v>
      </c>
      <c r="L78" s="42" t="str">
        <f>PROPER(Base_Original!G78)</f>
        <v>Terras Da Tempestade</v>
      </c>
      <c r="M78" s="43">
        <v>28200</v>
      </c>
      <c r="N78" s="43">
        <f>IF(ISNUMBER(Base_Original!I78),Base_Original!I78,IF(RIGHT(Base_Original!I78,7)=" moedas",VALUE(LEFT(Base_Original!I78,LEN(Base_Original!I78)-7)),Base_Original!I78))</f>
        <v>0</v>
      </c>
      <c r="O78" s="44" t="str">
        <f>IF(AND($N78&gt;50000,$Q78="Sim"),"Negada","Aprovada")</f>
        <v>Aprovada</v>
      </c>
      <c r="P78" s="45">
        <f>IF(AND($T78="Negada",$O78="Negada"),0,IF($B78="Ativo",$U78*8%,"0"))</f>
        <v>7400</v>
      </c>
      <c r="Q78" s="46" t="str">
        <f>IF(OR(Base_Original!J78="Sim",Base_Original!J78="sim",Base_Original!J78="SIM"),"Sim",IF(OR(Base_Original!J78="Não",Base_Original!J78="não",Base_Original!J78="NÃO",Base_Original!J78="Nao"),"Não",IF(Base_Original!J78="","vazio",Base_Original!J78)))</f>
        <v>Não</v>
      </c>
      <c r="R78" s="46">
        <f>IF(ISNUMBER(Base_Original!K78),Base_Original!K78,IF(RIGHT(Base_Original!K78,9)=" batalhas",VALUE(LEFT(Base_Original!K78,LEN(Base_Original!K78)-9)),Base_Original!K78))</f>
        <v>29</v>
      </c>
      <c r="S78" s="42" t="str">
        <f>IF($R78="vazio","vazio",IF($R78&lt;=10,"Baixo",IF($R78&lt;=25,"Médio","Alto")))</f>
        <v>Alto</v>
      </c>
      <c r="T78" s="42" t="str">
        <f>IF(AND($S78="Alto",$Q78="Sim"),"Negada","Aprovada")</f>
        <v>Aprovada</v>
      </c>
      <c r="U78" s="43">
        <v>92500</v>
      </c>
    </row>
    <row r="79" spans="1:21">
      <c r="A79" s="47" t="s">
        <v>933</v>
      </c>
      <c r="B79" s="37" t="str">
        <f>IF(Base_Original!A79="","vazio",IF(Base_Original!A79="ATIVO","Ativo",IF(Base_Original!A79="INATIVO","Inativo",Base_Original!A79)))</f>
        <v>Inativo</v>
      </c>
      <c r="C79" s="37" t="str">
        <f>PROPER(Base_Original!B79)</f>
        <v>Daario Arryn</v>
      </c>
      <c r="D79" s="38" t="s">
        <v>219</v>
      </c>
      <c r="E79" s="39" t="str">
        <f>IF($D79="","Vazio",IF(LEN(SUBSTITUTE(SUBSTITUTE($D79&amp;"",".",""),"-",""))&lt;&gt;11,"Inválido","OK"))</f>
        <v>OK</v>
      </c>
      <c r="F79" s="39" t="str">
        <f>IF($D79="","Vazio",IF(COUNTIF($D$2:$D$369,$D79)&gt;1,"Duplicado","Único"))</f>
        <v>Único</v>
      </c>
      <c r="G79" s="40" t="str">
        <f>IF(TRIM(Base_Original!D79)="","",SUBSTITUTE(TRIM(Base_Original!D79),"anos",""))</f>
        <v>63</v>
      </c>
      <c r="H79" s="50">
        <f>IF($J79="","Vazio",DATEDIF($J79,DATE(2026,9,10),"Y"))</f>
        <v>63</v>
      </c>
      <c r="I7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79" s="33">
        <v>23119</v>
      </c>
      <c r="K79" s="42" t="s">
        <v>51</v>
      </c>
      <c r="L79" s="42" t="str">
        <f>PROPER(Base_Original!G79)</f>
        <v>Vale</v>
      </c>
      <c r="M79" s="43">
        <v>9300</v>
      </c>
      <c r="N79" s="43">
        <f>IF(ISNUMBER(Base_Original!I79),Base_Original!I79,IF(RIGHT(Base_Original!I79,7)=" moedas",VALUE(LEFT(Base_Original!I79,LEN(Base_Original!I79)-7)),Base_Original!I79))</f>
        <v>48500</v>
      </c>
      <c r="O79" s="44" t="str">
        <f>IF(AND($N79&gt;50000,$Q79="Sim"),"Negada","Aprovada")</f>
        <v>Aprovada</v>
      </c>
      <c r="P79" s="45" t="str">
        <f>IF(AND($T79="Negada",$O79="Negada"),0,IF($B79="Ativo",$U79*8%,"0"))</f>
        <v>0</v>
      </c>
      <c r="Q79" s="46" t="str">
        <f>IF(OR(Base_Original!J79="Sim",Base_Original!J79="sim",Base_Original!J79="SIM"),"Sim",IF(OR(Base_Original!J79="Não",Base_Original!J79="não",Base_Original!J79="NÃO",Base_Original!J79="Nao"),"Não",IF(Base_Original!J79="","vazio",Base_Original!J79)))</f>
        <v>Não</v>
      </c>
      <c r="R79" s="46">
        <f>IF(ISNUMBER(Base_Original!K79),Base_Original!K79,IF(RIGHT(Base_Original!K79,9)=" batalhas",VALUE(LEFT(Base_Original!K79,LEN(Base_Original!K79)-9)),Base_Original!K79))</f>
        <v>28</v>
      </c>
      <c r="S79" s="42" t="str">
        <f>IF($R79="vazio","vazio",IF($R79&lt;=10,"Baixo",IF($R79&lt;=25,"Médio","Alto")))</f>
        <v>Alto</v>
      </c>
      <c r="T79" s="42" t="str">
        <f>IF(AND($S79="Alto",$Q79="Sim"),"Negada","Aprovada")</f>
        <v>Aprovada</v>
      </c>
      <c r="U79" s="43">
        <v>20000</v>
      </c>
    </row>
    <row r="80" spans="1:21">
      <c r="A80" s="47" t="s">
        <v>934</v>
      </c>
      <c r="B80" s="37" t="str">
        <f>IF(Base_Original!A80="","vazio",IF(Base_Original!A80="ATIVO","Ativo",IF(Base_Original!A80="INATIVO","Inativo",Base_Original!A80)))</f>
        <v>Inativo</v>
      </c>
      <c r="C80" s="37" t="str">
        <f>PROPER(Base_Original!B80)</f>
        <v>Daario Cerwyn</v>
      </c>
      <c r="D80" s="38">
        <v>17500</v>
      </c>
      <c r="E80" s="39" t="str">
        <f>IF($D80="","Vazio",IF(LEN(SUBSTITUTE(SUBSTITUTE($D80&amp;"",".",""),"-",""))&lt;&gt;11,"Inválido","OK"))</f>
        <v>Inválido</v>
      </c>
      <c r="F80" s="39" t="str">
        <f>IF($D80="","Vazio",IF(COUNTIF($D$2:$D$369,$D80)&gt;1,"Duplicado","Único"))</f>
        <v>Único</v>
      </c>
      <c r="G80" s="40" t="str">
        <f>IF(TRIM(Base_Original!D80)="","",SUBSTITUTE(TRIM(Base_Original!D80),"anos",""))</f>
        <v>60</v>
      </c>
      <c r="H80" s="50">
        <f>IF($J80="","Vazio",DATEDIF($J80,DATE(2026,9,10),"Y"))</f>
        <v>60</v>
      </c>
      <c r="I8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80" s="33">
        <v>24091</v>
      </c>
      <c r="K80" s="42" t="s">
        <v>91</v>
      </c>
      <c r="L80" s="42" t="str">
        <f>PROPER(Base_Original!G80)</f>
        <v>Oeste</v>
      </c>
      <c r="M80" s="43">
        <v>10100</v>
      </c>
      <c r="N80" s="43">
        <f>IF(ISNUMBER(Base_Original!I80),Base_Original!I80,IF(RIGHT(Base_Original!I80,7)=" moedas",VALUE(LEFT(Base_Original!I80,LEN(Base_Original!I80)-7)),Base_Original!I80))</f>
        <v>55000</v>
      </c>
      <c r="O80" s="44" t="str">
        <f>IF(AND($N80&gt;50000,$Q80="Sim"),"Negada","Aprovada")</f>
        <v>Aprovada</v>
      </c>
      <c r="P80" s="45" t="str">
        <f>IF(AND($T80="Negada",$O80="Negada"),0,IF($B80="Ativo",$U80*8%,"0"))</f>
        <v>0</v>
      </c>
      <c r="Q80" s="46" t="str">
        <f>IF(OR(Base_Original!J80="Sim",Base_Original!J80="sim",Base_Original!J80="SIM"),"Sim",IF(OR(Base_Original!J80="Não",Base_Original!J80="não",Base_Original!J80="NÃO",Base_Original!J80="Nao"),"Não",IF(Base_Original!J80="","vazio",Base_Original!J80)))</f>
        <v>Não</v>
      </c>
      <c r="R80" s="46">
        <f>IF(ISNUMBER(Base_Original!K80),Base_Original!K80,IF(RIGHT(Base_Original!K80,9)=" batalhas",VALUE(LEFT(Base_Original!K80,LEN(Base_Original!K80)-9)),Base_Original!K80))</f>
        <v>26</v>
      </c>
      <c r="S80" s="42" t="str">
        <f>IF($R80="vazio","vazio",IF($R80&lt;=10,"Baixo",IF($R80&lt;=25,"Médio","Alto")))</f>
        <v>Alto</v>
      </c>
      <c r="T80" s="42" t="str">
        <f>IF(AND($S80="Alto",$Q80="Sim"),"Negada","Aprovada")</f>
        <v>Aprovada</v>
      </c>
      <c r="U80" s="43">
        <v>54000</v>
      </c>
    </row>
    <row r="81" spans="1:21">
      <c r="A81" s="47" t="s">
        <v>935</v>
      </c>
      <c r="B81" s="37" t="str">
        <f>IF(Base_Original!A81="","vazio",IF(Base_Original!A81="ATIVO","Ativo",IF(Base_Original!A81="INATIVO","Inativo",Base_Original!A81)))</f>
        <v>Ativo</v>
      </c>
      <c r="C81" s="37" t="str">
        <f>PROPER(Base_Original!B81)</f>
        <v>Daario Clegane</v>
      </c>
      <c r="D81" s="38" t="s">
        <v>224</v>
      </c>
      <c r="E81" s="39" t="str">
        <f>IF($D81="","Vazio",IF(LEN(SUBSTITUTE(SUBSTITUTE($D81&amp;"",".",""),"-",""))&lt;&gt;11,"Inválido","OK"))</f>
        <v>OK</v>
      </c>
      <c r="F81" s="39" t="str">
        <f>IF($D81="","Vazio",IF(COUNTIF($D$2:$D$369,$D81)&gt;1,"Duplicado","Único"))</f>
        <v>Único</v>
      </c>
      <c r="G81" s="40" t="str">
        <f>IF(TRIM(Base_Original!D81)="","",SUBSTITUTE(TRIM(Base_Original!D81),"anos",""))</f>
        <v>33</v>
      </c>
      <c r="H81" s="50">
        <f>IF($J81="","Vazio",DATEDIF($J81,DATE(2026,9,10),"Y"))</f>
        <v>33</v>
      </c>
      <c r="I8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81" s="33">
        <v>33881</v>
      </c>
      <c r="K81" s="42" t="s">
        <v>40</v>
      </c>
      <c r="L81" s="42" t="str">
        <f>PROPER(Base_Original!G81)</f>
        <v>Norte</v>
      </c>
      <c r="M81" s="43">
        <v>29700</v>
      </c>
      <c r="N81" s="43">
        <f>IF(ISNUMBER(Base_Original!I81),Base_Original!I81,IF(RIGHT(Base_Original!I81,7)=" moedas",VALUE(LEFT(Base_Original!I81,LEN(Base_Original!I81)-7)),Base_Original!I81))</f>
        <v>22000</v>
      </c>
      <c r="O81" s="44" t="str">
        <f>IF(AND($N81&gt;50000,$Q81="Sim"),"Negada","Aprovada")</f>
        <v>Aprovada</v>
      </c>
      <c r="P81" s="45">
        <f>IF(AND($T81="Negada",$O81="Negada"),0,IF($B81="Ativo",$U81*8%,"0"))</f>
        <v>6480</v>
      </c>
      <c r="Q81" s="46" t="str">
        <f>IF(OR(Base_Original!J81="Sim",Base_Original!J81="sim",Base_Original!J81="SIM"),"Sim",IF(OR(Base_Original!J81="Não",Base_Original!J81="não",Base_Original!J81="NÃO",Base_Original!J81="Nao"),"Não",IF(Base_Original!J81="","vazio",Base_Original!J81)))</f>
        <v>Não</v>
      </c>
      <c r="R81" s="46">
        <f>IF(ISNUMBER(Base_Original!K81),Base_Original!K81,IF(RIGHT(Base_Original!K81,9)=" batalhas",VALUE(LEFT(Base_Original!K81,LEN(Base_Original!K81)-9)),Base_Original!K81))</f>
        <v>38</v>
      </c>
      <c r="S81" s="42" t="str">
        <f>IF($R81="vazio","vazio",IF($R81&lt;=10,"Baixo",IF($R81&lt;=25,"Médio","Alto")))</f>
        <v>Alto</v>
      </c>
      <c r="T81" s="42" t="str">
        <f>IF(AND($S81="Alto",$Q81="Sim"),"Negada","Aprovada")</f>
        <v>Aprovada</v>
      </c>
      <c r="U81" s="43">
        <v>81000</v>
      </c>
    </row>
    <row r="82" spans="1:21">
      <c r="A82" s="47" t="s">
        <v>936</v>
      </c>
      <c r="B82" s="37" t="str">
        <f>IF(Base_Original!A82="","vazio",IF(Base_Original!A82="ATIVO","Ativo",IF(Base_Original!A82="INATIVO","Inativo",Base_Original!A82)))</f>
        <v>Inativo</v>
      </c>
      <c r="C82" s="37" t="str">
        <f>PROPER(Base_Original!B82)</f>
        <v>Daario Marbrand</v>
      </c>
      <c r="D82" s="38" t="s">
        <v>226</v>
      </c>
      <c r="E82" s="39" t="str">
        <f>IF($D82="","Vazio",IF(LEN(SUBSTITUTE(SUBSTITUTE($D82&amp;"",".",""),"-",""))&lt;&gt;11,"Inválido","OK"))</f>
        <v>OK</v>
      </c>
      <c r="F82" s="39" t="str">
        <f>IF($D82="","Vazio",IF(COUNTIF($D$2:$D$369,$D82)&gt;1,"Duplicado","Único"))</f>
        <v>Duplicado</v>
      </c>
      <c r="G82" s="40" t="str">
        <f>IF(TRIM(Base_Original!D82)="","",SUBSTITUTE(TRIM(Base_Original!D82),"anos",""))</f>
        <v xml:space="preserve">46 </v>
      </c>
      <c r="H82" s="50">
        <f>IF($J82="","Vazio",DATEDIF($J82,DATE(2026,9,10),"Y"))</f>
        <v>46</v>
      </c>
      <c r="I8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82" s="33">
        <v>29113</v>
      </c>
      <c r="K82" s="42" t="s">
        <v>99</v>
      </c>
      <c r="L82" s="42" t="str">
        <f>PROPER(Base_Original!G82)</f>
        <v>Norte</v>
      </c>
      <c r="M82" s="43">
        <v>15000</v>
      </c>
      <c r="N82" s="43">
        <f>IF(ISNUMBER(Base_Original!I82),Base_Original!I82,IF(RIGHT(Base_Original!I82,7)=" moedas",VALUE(LEFT(Base_Original!I82,LEN(Base_Original!I82)-7)),Base_Original!I82))</f>
        <v>32500</v>
      </c>
      <c r="O82" s="44" t="str">
        <f>IF(AND($N82&gt;50000,$Q82="Sim"),"Negada","Aprovada")</f>
        <v>Aprovada</v>
      </c>
      <c r="P82" s="45" t="str">
        <f>IF(AND($T82="Negada",$O82="Negada"),0,IF($B82="Ativo",$U82*8%,"0"))</f>
        <v>0</v>
      </c>
      <c r="Q82" s="46" t="str">
        <f>IF(OR(Base_Original!J82="Sim",Base_Original!J82="sim",Base_Original!J82="SIM"),"Sim",IF(OR(Base_Original!J82="Não",Base_Original!J82="não",Base_Original!J82="NÃO",Base_Original!J82="Nao"),"Não",IF(Base_Original!J82="","vazio",Base_Original!J82)))</f>
        <v>Não</v>
      </c>
      <c r="R82" s="46">
        <f>IF(ISNUMBER(Base_Original!K82),Base_Original!K82,IF(RIGHT(Base_Original!K82,9)=" batalhas",VALUE(LEFT(Base_Original!K82,LEN(Base_Original!K82)-9)),Base_Original!K82))</f>
        <v>40</v>
      </c>
      <c r="S82" s="42" t="str">
        <f>IF($R82="vazio","vazio",IF($R82&lt;=10,"Baixo",IF($R82&lt;=25,"Médio","Alto")))</f>
        <v>Alto</v>
      </c>
      <c r="T82" s="42" t="str">
        <f>IF(AND($S82="Alto",$Q82="Sim"),"Negada","Aprovada")</f>
        <v>Aprovada</v>
      </c>
      <c r="U82" s="43">
        <v>4500</v>
      </c>
    </row>
    <row r="83" spans="1:21">
      <c r="A83" s="47" t="s">
        <v>937</v>
      </c>
      <c r="B83" s="37" t="str">
        <f>IF(Base_Original!A83="","vazio",IF(Base_Original!A83="ATIVO","Ativo",IF(Base_Original!A83="INATIVO","Inativo",Base_Original!A83)))</f>
        <v>Inativo</v>
      </c>
      <c r="C83" s="37" t="str">
        <f>PROPER(Base_Original!B83)</f>
        <v>Daario Marbrand</v>
      </c>
      <c r="D83" s="38" t="s">
        <v>226</v>
      </c>
      <c r="E83" s="39" t="str">
        <f>IF($D83="","Vazio",IF(LEN(SUBSTITUTE(SUBSTITUTE($D83&amp;"",".",""),"-",""))&lt;&gt;11,"Inválido","OK"))</f>
        <v>OK</v>
      </c>
      <c r="F83" s="39" t="str">
        <f>IF($D83="","Vazio",IF(COUNTIF($D$2:$D$369,$D83)&gt;1,"Duplicado","Único"))</f>
        <v>Duplicado</v>
      </c>
      <c r="G83" s="40" t="str">
        <f>IF(TRIM(Base_Original!D83)="","",SUBSTITUTE(TRIM(Base_Original!D83),"anos",""))</f>
        <v xml:space="preserve">46 </v>
      </c>
      <c r="H83" s="50">
        <f>IF($J83="","Vazio",DATEDIF($J83,DATE(2026,9,10),"Y"))</f>
        <v>46</v>
      </c>
      <c r="I8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83" s="33">
        <v>29113</v>
      </c>
      <c r="K83" s="42" t="s">
        <v>99</v>
      </c>
      <c r="L83" s="42" t="str">
        <f>PROPER(Base_Original!G83)</f>
        <v>Norte</v>
      </c>
      <c r="M83" s="43">
        <v>15000</v>
      </c>
      <c r="N83" s="43">
        <f>IF(ISNUMBER(Base_Original!I83),Base_Original!I83,IF(RIGHT(Base_Original!I83,7)=" moedas",VALUE(LEFT(Base_Original!I83,LEN(Base_Original!I83)-7)),Base_Original!I83))</f>
        <v>0</v>
      </c>
      <c r="O83" s="44" t="str">
        <f>IF(AND($N83&gt;50000,$Q83="Sim"),"Negada","Aprovada")</f>
        <v>Aprovada</v>
      </c>
      <c r="P83" s="45" t="str">
        <f>IF(AND($T83="Negada",$O83="Negada"),0,IF($B83="Ativo",$U83*8%,"0"))</f>
        <v>0</v>
      </c>
      <c r="Q83" s="46" t="str">
        <f>IF(OR(Base_Original!J83="Sim",Base_Original!J83="sim",Base_Original!J83="SIM"),"Sim",IF(OR(Base_Original!J83="Não",Base_Original!J83="não",Base_Original!J83="NÃO",Base_Original!J83="Nao"),"Não",IF(Base_Original!J83="","vazio",Base_Original!J83)))</f>
        <v>Não</v>
      </c>
      <c r="R83" s="46">
        <f>IF(ISNUMBER(Base_Original!K83),Base_Original!K83,IF(RIGHT(Base_Original!K83,9)=" batalhas",VALUE(LEFT(Base_Original!K83,LEN(Base_Original!K83)-9)),Base_Original!K83))</f>
        <v>40</v>
      </c>
      <c r="S83" s="42" t="str">
        <f>IF($R83="vazio","vazio",IF($R83&lt;=10,"Baixo",IF($R83&lt;=25,"Médio","Alto")))</f>
        <v>Alto</v>
      </c>
      <c r="T83" s="42" t="str">
        <f>IF(AND($S83="Alto",$Q83="Sim"),"Negada","Aprovada")</f>
        <v>Aprovada</v>
      </c>
      <c r="U83" s="43">
        <v>90500</v>
      </c>
    </row>
    <row r="84" spans="1:21">
      <c r="A84" s="47" t="s">
        <v>938</v>
      </c>
      <c r="B84" s="37" t="str">
        <f>IF(Base_Original!A84="","vazio",IF(Base_Original!A84="ATIVO","Ativo",IF(Base_Original!A84="INATIVO","Inativo",Base_Original!A84)))</f>
        <v>Ativo</v>
      </c>
      <c r="C84" s="37" t="str">
        <f>PROPER(Base_Original!B84)</f>
        <v>Daario Tarly</v>
      </c>
      <c r="D84" s="38" t="s">
        <v>229</v>
      </c>
      <c r="E84" s="39" t="str">
        <f>IF($D84="","Vazio",IF(LEN(SUBSTITUTE(SUBSTITUTE($D84&amp;"",".",""),"-",""))&lt;&gt;11,"Inválido","OK"))</f>
        <v>OK</v>
      </c>
      <c r="F84" s="39" t="str">
        <f>IF($D84="","Vazio",IF(COUNTIF($D$2:$D$369,$D84)&gt;1,"Duplicado","Único"))</f>
        <v>Único</v>
      </c>
      <c r="G84" s="40" t="str">
        <f>IF(TRIM(Base_Original!D84)="","",SUBSTITUTE(TRIM(Base_Original!D84),"anos",""))</f>
        <v>32</v>
      </c>
      <c r="H84" s="50">
        <f>IF($J84="","Vazio",DATEDIF($J84,DATE(2026,9,10),"Y"))</f>
        <v>32</v>
      </c>
      <c r="I8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84" s="33">
        <v>34508</v>
      </c>
      <c r="K84" s="42" t="s">
        <v>34</v>
      </c>
      <c r="L84" s="42" t="str">
        <f>PROPER(Base_Original!G84)</f>
        <v>Dorne</v>
      </c>
      <c r="M84" s="43">
        <v>9800</v>
      </c>
      <c r="N84" s="43">
        <f>IF(ISNUMBER(Base_Original!I84),Base_Original!I84,IF(RIGHT(Base_Original!I84,7)=" moedas",VALUE(LEFT(Base_Original!I84,LEN(Base_Original!I84)-7)),Base_Original!I84))</f>
        <v>0</v>
      </c>
      <c r="O84" s="44" t="str">
        <f>IF(AND($N84&gt;50000,$Q84="Sim"),"Negada","Aprovada")</f>
        <v>Aprovada</v>
      </c>
      <c r="P84" s="45">
        <f>IF(AND($T84="Negada",$O84="Negada"),0,IF($B84="Ativo",$U84*8%,"0"))</f>
        <v>5440</v>
      </c>
      <c r="Q84" s="46" t="str">
        <f>IF(OR(Base_Original!J84="Sim",Base_Original!J84="sim",Base_Original!J84="SIM"),"Sim",IF(OR(Base_Original!J84="Não",Base_Original!J84="não",Base_Original!J84="NÃO",Base_Original!J84="Nao"),"Não",IF(Base_Original!J84="","vazio",Base_Original!J84)))</f>
        <v>Não</v>
      </c>
      <c r="R84" s="46">
        <f>IF(ISNUMBER(Base_Original!K84),Base_Original!K84,IF(RIGHT(Base_Original!K84,9)=" batalhas",VALUE(LEFT(Base_Original!K84,LEN(Base_Original!K84)-9)),Base_Original!K84))</f>
        <v>23</v>
      </c>
      <c r="S84" s="42" t="str">
        <f>IF($R84="vazio","vazio",IF($R84&lt;=10,"Baixo",IF($R84&lt;=25,"Médio","Alto")))</f>
        <v>Médio</v>
      </c>
      <c r="T84" s="42" t="str">
        <f>IF(AND($S84="Alto",$Q84="Sim"),"Negada","Aprovada")</f>
        <v>Aprovada</v>
      </c>
      <c r="U84" s="43">
        <v>68000</v>
      </c>
    </row>
    <row r="85" spans="1:21">
      <c r="A85" s="47" t="s">
        <v>939</v>
      </c>
      <c r="B85" s="37" t="str">
        <f>IF(Base_Original!A85="","vazio",IF(Base_Original!A85="ATIVO","Ativo",IF(Base_Original!A85="INATIVO","Inativo",Base_Original!A85)))</f>
        <v>Ativo</v>
      </c>
      <c r="C85" s="37" t="str">
        <f>PROPER(Base_Original!B85)</f>
        <v>Daario Tyrell</v>
      </c>
      <c r="D85" s="38" t="s">
        <v>232</v>
      </c>
      <c r="E85" s="39" t="str">
        <f>IF($D85="","Vazio",IF(LEN(SUBSTITUTE(SUBSTITUTE($D85&amp;"",".",""),"-",""))&lt;&gt;11,"Inválido","OK"))</f>
        <v>OK</v>
      </c>
      <c r="F85" s="39" t="str">
        <f>IF($D85="","Vazio",IF(COUNTIF($D$2:$D$369,$D85)&gt;1,"Duplicado","Único"))</f>
        <v>Único</v>
      </c>
      <c r="G85" s="40" t="str">
        <f>IF(TRIM(Base_Original!D85)="","",SUBSTITUTE(TRIM(Base_Original!D85),"anos",""))</f>
        <v>51</v>
      </c>
      <c r="H85" s="50">
        <f>IF($J85="","Vazio",DATEDIF($J85,DATE(2026,9,10),"Y"))</f>
        <v>51</v>
      </c>
      <c r="I8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85" s="33">
        <v>27377</v>
      </c>
      <c r="K85" s="42" t="s">
        <v>44</v>
      </c>
      <c r="L85" s="42" t="str">
        <f>PROPER(Base_Original!G85)</f>
        <v>Ilhas De Ferro</v>
      </c>
      <c r="M85" s="43">
        <v>16300</v>
      </c>
      <c r="N85" s="43" t="s">
        <v>880</v>
      </c>
      <c r="O85" s="44" t="str">
        <f>IF(AND($N85&gt;50000,$Q85="Sim"),"Negada","Aprovada")</f>
        <v>Aprovada</v>
      </c>
      <c r="P85" s="45">
        <f>IF(AND($T85="Negada",$O85="Negada"),0,IF($B85="Ativo",$U85*8%,"0"))</f>
        <v>2640</v>
      </c>
      <c r="Q85" s="46" t="str">
        <f>IF(OR(Base_Original!J85="Sim",Base_Original!J85="sim",Base_Original!J85="SIM"),"Sim",IF(OR(Base_Original!J85="Não",Base_Original!J85="não",Base_Original!J85="NÃO",Base_Original!J85="Nao"),"Não",IF(Base_Original!J85="","vazio",Base_Original!J85)))</f>
        <v>Não</v>
      </c>
      <c r="R85" s="46">
        <f>IF(ISNUMBER(Base_Original!K85),Base_Original!K85,IF(RIGHT(Base_Original!K85,9)=" batalhas",VALUE(LEFT(Base_Original!K85,LEN(Base_Original!K85)-9)),Base_Original!K85))</f>
        <v>8</v>
      </c>
      <c r="S85" s="42" t="str">
        <f>IF($R85="vazio","vazio",IF($R85&lt;=10,"Baixo",IF($R85&lt;=25,"Médio","Alto")))</f>
        <v>Baixo</v>
      </c>
      <c r="T85" s="42" t="str">
        <f>IF(AND($S85="Alto",$Q85="Sim"),"Negada","Aprovada")</f>
        <v>Aprovada</v>
      </c>
      <c r="U85" s="43">
        <v>33000</v>
      </c>
    </row>
    <row r="86" spans="1:21">
      <c r="A86" s="47" t="s">
        <v>940</v>
      </c>
      <c r="B86" s="37" t="str">
        <f>IF(Base_Original!A86="","vazio",IF(Base_Original!A86="ATIVO","Ativo",IF(Base_Original!A86="INATIVO","Inativo",Base_Original!A86)))</f>
        <v>Ativo</v>
      </c>
      <c r="C86" s="37" t="str">
        <f>PROPER(Base_Original!B86)</f>
        <v>Daenerys Seaworth</v>
      </c>
      <c r="D86" s="38" t="s">
        <v>234</v>
      </c>
      <c r="E86" s="39" t="str">
        <f>IF($D86="","Vazio",IF(LEN(SUBSTITUTE(SUBSTITUTE($D86&amp;"",".",""),"-",""))&lt;&gt;11,"Inválido","OK"))</f>
        <v>OK</v>
      </c>
      <c r="F86" s="39" t="str">
        <f>IF($D86="","Vazio",IF(COUNTIF($D$2:$D$369,$D86)&gt;1,"Duplicado","Único"))</f>
        <v>Único</v>
      </c>
      <c r="G86" s="40" t="str">
        <f>IF(TRIM(Base_Original!D86)="","",SUBSTITUTE(TRIM(Base_Original!D86),"anos",""))</f>
        <v>54</v>
      </c>
      <c r="H86" s="50">
        <f>IF($J86="","Vazio",DATEDIF($J86,DATE(2026,9,10),"Y"))</f>
        <v>54</v>
      </c>
      <c r="I8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86" s="33">
        <v>26213</v>
      </c>
      <c r="K86" s="42" t="s">
        <v>101</v>
      </c>
      <c r="L86" s="42" t="str">
        <f>PROPER(Base_Original!G86)</f>
        <v>Campina</v>
      </c>
      <c r="M86" s="43">
        <v>29700</v>
      </c>
      <c r="N86" s="43">
        <f>IF(ISNUMBER(Base_Original!I86),Base_Original!I86,IF(RIGHT(Base_Original!I86,7)=" moedas",VALUE(LEFT(Base_Original!I86,LEN(Base_Original!I86)-7)),Base_Original!I86))</f>
        <v>34000</v>
      </c>
      <c r="O86" s="44" t="str">
        <f>IF(AND($N86&gt;50000,$Q86="Sim"),"Negada","Aprovada")</f>
        <v>Aprovada</v>
      </c>
      <c r="P86" s="45">
        <f>IF(AND($T86="Negada",$O86="Negada"),0,IF($B86="Ativo",$U86*8%,"0"))</f>
        <v>2800</v>
      </c>
      <c r="Q86" s="46" t="str">
        <f>IF(OR(Base_Original!J86="Sim",Base_Original!J86="sim",Base_Original!J86="SIM"),"Sim",IF(OR(Base_Original!J86="Não",Base_Original!J86="não",Base_Original!J86="NÃO",Base_Original!J86="Nao"),"Não",IF(Base_Original!J86="","vazio",Base_Original!J86)))</f>
        <v>Não</v>
      </c>
      <c r="R86" s="46">
        <f>IF(ISNUMBER(Base_Original!K86),Base_Original!K86,IF(RIGHT(Base_Original!K86,9)=" batalhas",VALUE(LEFT(Base_Original!K86,LEN(Base_Original!K86)-9)),Base_Original!K86))</f>
        <v>35</v>
      </c>
      <c r="S86" s="42" t="str">
        <f>IF($R86="vazio","vazio",IF($R86&lt;=10,"Baixo",IF($R86&lt;=25,"Médio","Alto")))</f>
        <v>Alto</v>
      </c>
      <c r="T86" s="42" t="str">
        <f>IF(AND($S86="Alto",$Q86="Sim"),"Negada","Aprovada")</f>
        <v>Aprovada</v>
      </c>
      <c r="U86" s="43">
        <v>35000</v>
      </c>
    </row>
    <row r="87" spans="1:21">
      <c r="A87" s="47" t="s">
        <v>941</v>
      </c>
      <c r="B87" s="37" t="str">
        <f>IF(Base_Original!A87="","vazio",IF(Base_Original!A87="ATIVO","Ativo",IF(Base_Original!A87="INATIVO","Inativo",Base_Original!A87)))</f>
        <v>Ativo</v>
      </c>
      <c r="C87" s="37" t="str">
        <f>PROPER(Base_Original!B87)</f>
        <v>Daenerys Snow</v>
      </c>
      <c r="D87" s="38">
        <v>14200</v>
      </c>
      <c r="E87" s="39" t="str">
        <f>IF($D87="","Vazio",IF(LEN(SUBSTITUTE(SUBSTITUTE($D87&amp;"",".",""),"-",""))&lt;&gt;11,"Inválido","OK"))</f>
        <v>Inválido</v>
      </c>
      <c r="F87" s="39" t="str">
        <f>IF($D87="","Vazio",IF(COUNTIF($D$2:$D$369,$D87)&gt;1,"Duplicado","Único"))</f>
        <v>Único</v>
      </c>
      <c r="G87" s="40" t="str">
        <f>IF(TRIM(Base_Original!D87)="","",SUBSTITUTE(TRIM(Base_Original!D87),"anos",""))</f>
        <v>48</v>
      </c>
      <c r="H87" s="50">
        <f>IF($J87="","Vazio",DATEDIF($J87,DATE(2026,9,10),"Y"))</f>
        <v>48</v>
      </c>
      <c r="I8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87" s="33">
        <v>28681</v>
      </c>
      <c r="K87" s="42" t="s">
        <v>237</v>
      </c>
      <c r="L87" s="42" t="str">
        <f>PROPER(Base_Original!G87)</f>
        <v/>
      </c>
      <c r="M87" s="43">
        <v>15800</v>
      </c>
      <c r="N87" s="43" t="str">
        <f>IF(ISNUMBER(Base_Original!I87),Base_Original!I87,IF(RIGHT(Base_Original!I87,7)=" moedas",VALUE(LEFT(Base_Original!I87,LEN(Base_Original!I87)-7)),Base_Original!I87))</f>
        <v>N/A</v>
      </c>
      <c r="O87" s="44" t="str">
        <f>IF(AND($N87&gt;50000,$Q87="Sim"),"Negada","Aprovada")</f>
        <v>Aprovada</v>
      </c>
      <c r="P87" s="45">
        <f>IF(AND($T87="Negada",$O87="Negada"),0,IF($B87="Ativo",$U87*8%,"0"))</f>
        <v>5560</v>
      </c>
      <c r="Q87" s="46" t="str">
        <f>IF(OR(Base_Original!J87="Sim",Base_Original!J87="sim",Base_Original!J87="SIM"),"Sim",IF(OR(Base_Original!J87="Não",Base_Original!J87="não",Base_Original!J87="NÃO",Base_Original!J87="Nao"),"Não",IF(Base_Original!J87="","vazio",Base_Original!J87)))</f>
        <v>Não</v>
      </c>
      <c r="R87" s="46">
        <f>IF(ISNUMBER(Base_Original!K87),Base_Original!K87,IF(RIGHT(Base_Original!K87,9)=" batalhas",VALUE(LEFT(Base_Original!K87,LEN(Base_Original!K87)-9)),Base_Original!K87))</f>
        <v>12</v>
      </c>
      <c r="S87" s="42" t="str">
        <f>IF($R87="vazio","vazio",IF($R87&lt;=10,"Baixo",IF($R87&lt;=25,"Médio","Alto")))</f>
        <v>Médio</v>
      </c>
      <c r="T87" s="42" t="str">
        <f>IF(AND($S87="Alto",$Q87="Sim"),"Negada","Aprovada")</f>
        <v>Aprovada</v>
      </c>
      <c r="U87" s="43">
        <v>69500</v>
      </c>
    </row>
    <row r="88" spans="1:21">
      <c r="A88" s="47" t="s">
        <v>942</v>
      </c>
      <c r="B88" s="37" t="str">
        <f>IF(Base_Original!A89="","vazio",IF(Base_Original!A89="ATIVO","Ativo",IF(Base_Original!A89="INATIVO","Inativo",Base_Original!A89)))</f>
        <v>Ativo</v>
      </c>
      <c r="C88" s="37" t="str">
        <f>PROPER(Base_Original!B89)</f>
        <v>Daenerys Tallhart</v>
      </c>
      <c r="D88" s="38" t="s">
        <v>239</v>
      </c>
      <c r="E88" s="39" t="str">
        <f>IF($D88="","Vazio",IF(LEN(SUBSTITUTE(SUBSTITUTE($D88&amp;"",".",""),"-",""))&lt;&gt;11,"Inválido","OK"))</f>
        <v>OK</v>
      </c>
      <c r="F88" s="39" t="str">
        <f>IF($D88="","Vazio",IF(COUNTIF($D$2:$D$369,$D88)&gt;1,"Duplicado","Único"))</f>
        <v>Duplicado</v>
      </c>
      <c r="G88" s="40" t="str">
        <f>IF(TRIM(Base_Original!D88)="","",SUBSTITUTE(TRIM(Base_Original!D88),"anos",""))</f>
        <v>37</v>
      </c>
      <c r="H88" s="50">
        <f>IF($J88="","Vazio",DATEDIF($J88,DATE(2026,9,10),"Y"))</f>
        <v>37</v>
      </c>
      <c r="I8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88" s="33">
        <v>32543</v>
      </c>
      <c r="K88" s="42" t="s">
        <v>101</v>
      </c>
      <c r="L88" s="42" t="str">
        <f>PROPER(Base_Original!G89)</f>
        <v>Campina</v>
      </c>
      <c r="M88" s="43">
        <v>29200</v>
      </c>
      <c r="N88" s="43">
        <f>IF(ISNUMBER(Base_Original!I89),Base_Original!I89,IF(RIGHT(Base_Original!I89,7)=" moedas",VALUE(LEFT(Base_Original!I89,LEN(Base_Original!I89)-7)),Base_Original!I89))</f>
        <v>45000</v>
      </c>
      <c r="O88" s="44" t="str">
        <f>IF(AND($N88&gt;50000,$Q88="Sim"),"Negada","Aprovada")</f>
        <v>Aprovada</v>
      </c>
      <c r="P88" s="45">
        <f>IF(AND($T88="Negada",$O88="Negada"),0,IF($B88="Ativo",$U88*8%,"0"))</f>
        <v>6240</v>
      </c>
      <c r="Q88" s="46" t="str">
        <f>IF(OR(Base_Original!J89="Sim",Base_Original!J89="sim",Base_Original!J89="SIM"),"Sim",IF(OR(Base_Original!J89="Não",Base_Original!J89="não",Base_Original!J89="NÃO",Base_Original!J89="Nao"),"Não",IF(Base_Original!J89="","vazio",Base_Original!J89)))</f>
        <v>Não</v>
      </c>
      <c r="R88" s="46">
        <f>IF(ISNUMBER(Base_Original!K89),Base_Original!K89,IF(RIGHT(Base_Original!K89,9)=" batalhas",VALUE(LEFT(Base_Original!K89,LEN(Base_Original!K89)-9)),Base_Original!K89))</f>
        <v>26</v>
      </c>
      <c r="S88" s="42" t="str">
        <f>IF($R88="vazio","vazio",IF($R88&lt;=10,"Baixo",IF($R88&lt;=25,"Médio","Alto")))</f>
        <v>Alto</v>
      </c>
      <c r="T88" s="42" t="str">
        <f>IF(AND($S88="Alto",$Q88="Sim"),"Negada","Aprovada")</f>
        <v>Aprovada</v>
      </c>
      <c r="U88" s="43">
        <v>78000</v>
      </c>
    </row>
    <row r="89" spans="1:21">
      <c r="A89" s="47" t="s">
        <v>943</v>
      </c>
      <c r="B89" s="37" t="str">
        <f>IF(Base_Original!A88="","vazio",IF(Base_Original!A88="ATIVO","Ativo",IF(Base_Original!A88="INATIVO","Inativo",Base_Original!A88)))</f>
        <v>Ativo</v>
      </c>
      <c r="C89" s="37" t="str">
        <f>PROPER(Base_Original!B88)</f>
        <v>Daenerys Tallhart</v>
      </c>
      <c r="D89" s="38" t="s">
        <v>239</v>
      </c>
      <c r="E89" s="39" t="str">
        <f>IF($D89="","Vazio",IF(LEN(SUBSTITUTE(SUBSTITUTE($D89&amp;"",".",""),"-",""))&lt;&gt;11,"Inválido","OK"))</f>
        <v>OK</v>
      </c>
      <c r="F89" s="39" t="str">
        <f>IF($D89="","Vazio",IF(COUNTIF($D$2:$D$369,$D89)&gt;1,"Duplicado","Único"))</f>
        <v>Duplicado</v>
      </c>
      <c r="G89" s="40" t="str">
        <f>IF(TRIM(Base_Original!D89)="","",SUBSTITUTE(TRIM(Base_Original!D89),"anos",""))</f>
        <v>37</v>
      </c>
      <c r="H89" s="50">
        <f>IF($J89="","Vazio",DATEDIF($J89,DATE(2026,9,10),"Y"))</f>
        <v>37</v>
      </c>
      <c r="I8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89" s="33">
        <v>32543</v>
      </c>
      <c r="K89" s="42" t="s">
        <v>101</v>
      </c>
      <c r="L89" s="42" t="str">
        <f>PROPER(Base_Original!G88)</f>
        <v>Campina</v>
      </c>
      <c r="M89" s="43">
        <v>29200</v>
      </c>
      <c r="N89" s="43">
        <f>IF(ISNUMBER(Base_Original!I88),Base_Original!I88,IF(RIGHT(Base_Original!I88,7)=" moedas",VALUE(LEFT(Base_Original!I88,LEN(Base_Original!I88)-7)),Base_Original!I88))</f>
        <v>45000</v>
      </c>
      <c r="O89" s="44" t="str">
        <f>IF(AND($N89&gt;50000,$Q89="Sim"),"Negada","Aprovada")</f>
        <v>Aprovada</v>
      </c>
      <c r="P89" s="45">
        <f>IF(AND($T89="Negada",$O89="Negada"),0,IF($B89="Ativo",$U89*8%,"0"))</f>
        <v>1880</v>
      </c>
      <c r="Q89" s="46" t="str">
        <f>IF(OR(Base_Original!J88="Sim",Base_Original!J88="sim",Base_Original!J88="SIM"),"Sim",IF(OR(Base_Original!J88="Não",Base_Original!J88="não",Base_Original!J88="NÃO",Base_Original!J88="Nao"),"Não",IF(Base_Original!J88="","vazio",Base_Original!J88)))</f>
        <v>Não</v>
      </c>
      <c r="R89" s="46">
        <f>IF(ISNUMBER(Base_Original!K88),Base_Original!K88,IF(RIGHT(Base_Original!K88,9)=" batalhas",VALUE(LEFT(Base_Original!K88,LEN(Base_Original!K88)-9)),Base_Original!K88))</f>
        <v>26</v>
      </c>
      <c r="S89" s="42" t="str">
        <f>IF($R89="vazio","vazio",IF($R89&lt;=10,"Baixo",IF($R89&lt;=25,"Médio","Alto")))</f>
        <v>Alto</v>
      </c>
      <c r="T89" s="42" t="str">
        <f>IF(AND($S89="Alto",$Q89="Sim"),"Negada","Aprovada")</f>
        <v>Aprovada</v>
      </c>
      <c r="U89" s="43">
        <v>23500</v>
      </c>
    </row>
    <row r="90" spans="1:21">
      <c r="A90" s="47" t="s">
        <v>944</v>
      </c>
      <c r="B90" s="37" t="str">
        <f>IF(Base_Original!A90="","vazio",IF(Base_Original!A90="ATIVO","Ativo",IF(Base_Original!A90="INATIVO","Inativo",Base_Original!A90)))</f>
        <v>Ativo</v>
      </c>
      <c r="C90" s="37" t="str">
        <f>PROPER(Base_Original!B90)</f>
        <v>Davos  Baratheon</v>
      </c>
      <c r="D90" s="38" t="s">
        <v>241</v>
      </c>
      <c r="E90" s="39" t="str">
        <f>IF($D90="","Vazio",IF(LEN(SUBSTITUTE(SUBSTITUTE($D90&amp;"",".",""),"-",""))&lt;&gt;11,"Inválido","OK"))</f>
        <v>OK</v>
      </c>
      <c r="F90" s="39" t="str">
        <f>IF($D90="","Vazio",IF(COUNTIF($D$2:$D$369,$D90)&gt;1,"Duplicado","Único"))</f>
        <v>Único</v>
      </c>
      <c r="G90" s="40" t="str">
        <f>IF(TRIM(Base_Original!D90)="","",SUBSTITUTE(TRIM(Base_Original!D90),"anos",""))</f>
        <v/>
      </c>
      <c r="H90" s="50">
        <f>IF($J90="","Vazio",DATEDIF($J90,DATE(2026,9,10),"Y"))</f>
        <v>27</v>
      </c>
      <c r="I9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90" s="33">
        <v>36337</v>
      </c>
      <c r="K90" s="42" t="s">
        <v>242</v>
      </c>
      <c r="L90" s="42" t="str">
        <f>PROPER(Base_Original!G90)</f>
        <v>Norte</v>
      </c>
      <c r="M90" s="43">
        <v>22500</v>
      </c>
      <c r="N90" s="43">
        <f>IF(ISNUMBER(Base_Original!I90),Base_Original!I90,IF(RIGHT(Base_Original!I90,7)=" moedas",VALUE(LEFT(Base_Original!I90,LEN(Base_Original!I90)-7)),Base_Original!I90))</f>
        <v>55500</v>
      </c>
      <c r="O90" s="44" t="str">
        <f>IF(AND($N90&gt;50000,$Q90="Sim"),"Negada","Aprovada")</f>
        <v>Aprovada</v>
      </c>
      <c r="P90" s="45">
        <f>IF(AND($T90="Negada",$O90="Negada"),0,IF($B90="Ativo",$U90*8%,"0"))</f>
        <v>7320</v>
      </c>
      <c r="Q90" s="46" t="str">
        <f>IF(OR(Base_Original!J90="Sim",Base_Original!J90="sim",Base_Original!J90="SIM"),"Sim",IF(OR(Base_Original!J90="Não",Base_Original!J90="não",Base_Original!J90="NÃO",Base_Original!J90="Nao"),"Não",IF(Base_Original!J90="","vazio",Base_Original!J90)))</f>
        <v>Não</v>
      </c>
      <c r="R90" s="46">
        <f>IF(ISNUMBER(Base_Original!K90),Base_Original!K90,IF(RIGHT(Base_Original!K90,9)=" batalhas",VALUE(LEFT(Base_Original!K90,LEN(Base_Original!K90)-9)),Base_Original!K90))</f>
        <v>32</v>
      </c>
      <c r="S90" s="42" t="str">
        <f>IF($R90="vazio","vazio",IF($R90&lt;=10,"Baixo",IF($R90&lt;=25,"Médio","Alto")))</f>
        <v>Alto</v>
      </c>
      <c r="T90" s="42" t="str">
        <f>IF(AND($S90="Alto",$Q90="Sim"),"Negada","Aprovada")</f>
        <v>Aprovada</v>
      </c>
      <c r="U90" s="43">
        <v>91500</v>
      </c>
    </row>
    <row r="91" spans="1:21">
      <c r="A91" s="47" t="s">
        <v>945</v>
      </c>
      <c r="B91" s="37" t="str">
        <f>IF(Base_Original!A91="","vazio",IF(Base_Original!A91="ATIVO","Ativo",IF(Base_Original!A91="INATIVO","Inativo",Base_Original!A91)))</f>
        <v>Inativo</v>
      </c>
      <c r="C91" s="37" t="str">
        <f>PROPER(Base_Original!B91)</f>
        <v>Davos Tyrell</v>
      </c>
      <c r="D91" s="38">
        <v>16100</v>
      </c>
      <c r="E91" s="39" t="str">
        <f>IF($D91="","Vazio",IF(LEN(SUBSTITUTE(SUBSTITUTE($D91&amp;"",".",""),"-",""))&lt;&gt;11,"Inválido","OK"))</f>
        <v>Inválido</v>
      </c>
      <c r="F91" s="39" t="str">
        <f>IF($D91="","Vazio",IF(COUNTIF($D$2:$D$369,$D91)&gt;1,"Duplicado","Único"))</f>
        <v>Único</v>
      </c>
      <c r="G91" s="40" t="str">
        <f>IF(TRIM(Base_Original!D91)="","",SUBSTITUTE(TRIM(Base_Original!D91),"anos",""))</f>
        <v>65</v>
      </c>
      <c r="H91" s="50">
        <f>IF($J91="","Vazio",DATEDIF($J91,DATE(2026,9,10),"Y"))</f>
        <v>65</v>
      </c>
      <c r="I9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91" s="33">
        <v>22275</v>
      </c>
      <c r="K91" s="42" t="s">
        <v>91</v>
      </c>
      <c r="L91" s="42" t="str">
        <f>PROPER(Base_Original!G91)</f>
        <v>Vale</v>
      </c>
      <c r="M91" s="43" t="s">
        <v>113</v>
      </c>
      <c r="N91" s="43" t="s">
        <v>880</v>
      </c>
      <c r="O91" s="44" t="str">
        <f>IF(AND($N91&gt;50000,$Q91="Sim"),"Negada","Aprovada")</f>
        <v>Aprovada</v>
      </c>
      <c r="P91" s="45" t="str">
        <f>IF(AND($T91="Negada",$O91="Negada"),0,IF($B91="Ativo",$U91*8%,"0"))</f>
        <v>0</v>
      </c>
      <c r="Q91" s="46" t="str">
        <f>IF(OR(Base_Original!J91="Sim",Base_Original!J91="sim",Base_Original!J91="SIM"),"Sim",IF(OR(Base_Original!J91="Não",Base_Original!J91="não",Base_Original!J91="NÃO",Base_Original!J91="Nao"),"Não",IF(Base_Original!J91="","vazio",Base_Original!J91)))</f>
        <v>Não</v>
      </c>
      <c r="R91" s="46">
        <f>IF(ISNUMBER(Base_Original!K91),Base_Original!K91,IF(RIGHT(Base_Original!K91,9)=" batalhas",VALUE(LEFT(Base_Original!K91,LEN(Base_Original!K91)-9)),Base_Original!K91))</f>
        <v>27</v>
      </c>
      <c r="S91" s="42" t="str">
        <f>IF($R91="vazio","vazio",IF($R91&lt;=10,"Baixo",IF($R91&lt;=25,"Médio","Alto")))</f>
        <v>Alto</v>
      </c>
      <c r="T91" s="42" t="str">
        <f>IF(AND($S91="Alto",$Q91="Sim"),"Negada","Aprovada")</f>
        <v>Aprovada</v>
      </c>
      <c r="U91" s="43">
        <v>13000</v>
      </c>
    </row>
    <row r="92" spans="1:21">
      <c r="A92" s="47" t="s">
        <v>946</v>
      </c>
      <c r="B92" s="37" t="str">
        <f>IF(Base_Original!A92="","vazio",IF(Base_Original!A92="ATIVO","Ativo",IF(Base_Original!A92="INATIVO","Inativo",Base_Original!A92)))</f>
        <v>Ativo</v>
      </c>
      <c r="C92" s="37" t="str">
        <f>PROPER(Base_Original!B92)</f>
        <v>Davos Tyrell</v>
      </c>
      <c r="D92" s="38" t="s">
        <v>244</v>
      </c>
      <c r="E92" s="39" t="str">
        <f>IF($D92="","Vazio",IF(LEN(SUBSTITUTE(SUBSTITUTE($D92&amp;"",".",""),"-",""))&lt;&gt;11,"Inválido","OK"))</f>
        <v>OK</v>
      </c>
      <c r="F92" s="39" t="str">
        <f>IF($D92="","Vazio",IF(COUNTIF($D$2:$D$369,$D92)&gt;1,"Duplicado","Único"))</f>
        <v>Único</v>
      </c>
      <c r="G92" s="40" t="str">
        <f>IF(TRIM(Base_Original!D92)="","",SUBSTITUTE(TRIM(Base_Original!D92),"anos",""))</f>
        <v>57</v>
      </c>
      <c r="H92" s="50" t="s">
        <v>909</v>
      </c>
      <c r="I92" s="51" t="s">
        <v>909</v>
      </c>
      <c r="J92" s="33"/>
      <c r="K92" s="42" t="s">
        <v>51</v>
      </c>
      <c r="L92" s="42" t="str">
        <f>PROPER(Base_Original!G92)</f>
        <v>Oeste</v>
      </c>
      <c r="M92" s="43">
        <v>3300</v>
      </c>
      <c r="N92" s="43">
        <f>IF(ISNUMBER(Base_Original!I92),Base_Original!I92,IF(RIGHT(Base_Original!I92,7)=" moedas",VALUE(LEFT(Base_Original!I92,LEN(Base_Original!I92)-7)),Base_Original!I92))</f>
        <v>0</v>
      </c>
      <c r="O92" s="44" t="str">
        <f>IF(AND($N92&gt;50000,$Q92="Sim"),"Negada","Aprovada")</f>
        <v>Aprovada</v>
      </c>
      <c r="P92" s="45">
        <f>IF(AND($T92="Negada",$O92="Negada"),0,IF($B92="Ativo",$U92*8%,"0"))</f>
        <v>1880</v>
      </c>
      <c r="Q92" s="46" t="str">
        <f>IF(OR(Base_Original!J92="Sim",Base_Original!J92="sim",Base_Original!J92="SIM"),"Sim",IF(OR(Base_Original!J92="Não",Base_Original!J92="não",Base_Original!J92="NÃO",Base_Original!J92="Nao"),"Não",IF(Base_Original!J92="","vazio",Base_Original!J92)))</f>
        <v>Sim</v>
      </c>
      <c r="R92" s="46">
        <f>IF(ISNUMBER(Base_Original!K92),Base_Original!K92,IF(RIGHT(Base_Original!K92,9)=" batalhas",VALUE(LEFT(Base_Original!K92,LEN(Base_Original!K92)-9)),Base_Original!K92))</f>
        <v>28</v>
      </c>
      <c r="S92" s="42" t="str">
        <f>IF($R92="vazio","vazio",IF($R92&lt;=10,"Baixo",IF($R92&lt;=25,"Médio","Alto")))</f>
        <v>Alto</v>
      </c>
      <c r="T92" s="42" t="str">
        <f>IF(AND($S92="Alto",$Q92="Sim"),"Negada","Aprovada")</f>
        <v>Negada</v>
      </c>
      <c r="U92" s="43">
        <v>23500</v>
      </c>
    </row>
    <row r="93" spans="1:21">
      <c r="A93" s="47" t="s">
        <v>947</v>
      </c>
      <c r="B93" s="37" t="str">
        <f>IF(Base_Original!A93="","vazio",IF(Base_Original!A93="ATIVO","Ativo",IF(Base_Original!A93="INATIVO","Inativo",Base_Original!A93)))</f>
        <v>Inativo</v>
      </c>
      <c r="C93" s="37" t="str">
        <f>PROPER(Base_Original!B93)</f>
        <v>Davos Umber</v>
      </c>
      <c r="D93" s="38" t="s">
        <v>248</v>
      </c>
      <c r="E93" s="39" t="str">
        <f>IF($D93="","Vazio",IF(LEN(SUBSTITUTE(SUBSTITUTE($D93&amp;"",".",""),"-",""))&lt;&gt;11,"Inválido","OK"))</f>
        <v>OK</v>
      </c>
      <c r="F93" s="39" t="str">
        <f>IF($D93="","Vazio",IF(COUNTIF($D$2:$D$369,$D93)&gt;1,"Duplicado","Único"))</f>
        <v>Único</v>
      </c>
      <c r="G93" s="40" t="str">
        <f>IF(TRIM(Base_Original!D93)="","",SUBSTITUTE(TRIM(Base_Original!D93),"anos",""))</f>
        <v>74</v>
      </c>
      <c r="H93" s="50">
        <f>IF($J93="","Vazio",DATEDIF($J93,DATE(2026,9,10),"Y"))</f>
        <v>74</v>
      </c>
      <c r="I9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93" s="33">
        <v>19047</v>
      </c>
      <c r="K93" s="42" t="s">
        <v>91</v>
      </c>
      <c r="L93" s="42" t="str">
        <f>PROPER(Base_Original!G93)</f>
        <v>Oeste</v>
      </c>
      <c r="M93" s="43">
        <v>24000</v>
      </c>
      <c r="N93" s="43">
        <f>IF(ISNUMBER(Base_Original!I93),Base_Original!I93,IF(RIGHT(Base_Original!I93,7)=" moedas",VALUE(LEFT(Base_Original!I93,LEN(Base_Original!I93)-7)),Base_Original!I93))</f>
        <v>35000</v>
      </c>
      <c r="O93" s="44" t="str">
        <f>IF(AND($N93&gt;50000,$Q93="Sim"),"Negada","Aprovada")</f>
        <v>Aprovada</v>
      </c>
      <c r="P93" s="45" t="str">
        <f>IF(AND($T93="Negada",$O93="Negada"),0,IF($B93="Ativo",$U93*8%,"0"))</f>
        <v>0</v>
      </c>
      <c r="Q93" s="46" t="str">
        <f>IF(OR(Base_Original!J93="Sim",Base_Original!J93="sim",Base_Original!J93="SIM"),"Sim",IF(OR(Base_Original!J93="Não",Base_Original!J93="não",Base_Original!J93="NÃO",Base_Original!J93="Nao"),"Não",IF(Base_Original!J93="","vazio",Base_Original!J93)))</f>
        <v>Não</v>
      </c>
      <c r="R93" s="46">
        <f>IF(ISNUMBER(Base_Original!K93),Base_Original!K93,IF(RIGHT(Base_Original!K93,9)=" batalhas",VALUE(LEFT(Base_Original!K93,LEN(Base_Original!K93)-9)),Base_Original!K93))</f>
        <v>6</v>
      </c>
      <c r="S93" s="42" t="str">
        <f>IF($R93="vazio","vazio",IF($R93&lt;=10,"Baixo",IF($R93&lt;=25,"Médio","Alto")))</f>
        <v>Baixo</v>
      </c>
      <c r="T93" s="42" t="str">
        <f>IF(AND($S93="Alto",$Q93="Sim"),"Negada","Aprovada")</f>
        <v>Aprovada</v>
      </c>
      <c r="U93" s="43">
        <v>29500</v>
      </c>
    </row>
    <row r="94" spans="1:21">
      <c r="A94" s="47" t="s">
        <v>948</v>
      </c>
      <c r="B94" s="37" t="str">
        <f>IF(Base_Original!A94="","vazio",IF(Base_Original!A94="ATIVO","Ativo",IF(Base_Original!A94="INATIVO","Inativo",Base_Original!A94)))</f>
        <v>Inativo</v>
      </c>
      <c r="C94" s="37" t="str">
        <f>PROPER(Base_Original!B94)</f>
        <v>Eddard Crakehall</v>
      </c>
      <c r="D94" s="38">
        <v>31800</v>
      </c>
      <c r="E94" s="39" t="str">
        <f>IF($D94="","Vazio",IF(LEN(SUBSTITUTE(SUBSTITUTE($D94&amp;"",".",""),"-",""))&lt;&gt;11,"Inválido","OK"))</f>
        <v>Inválido</v>
      </c>
      <c r="F94" s="39" t="str">
        <f>IF($D94="","Vazio",IF(COUNTIF($D$2:$D$369,$D94)&gt;1,"Duplicado","Único"))</f>
        <v>Único</v>
      </c>
      <c r="G94" s="40" t="str">
        <f>IF(TRIM(Base_Original!D94)="","",SUBSTITUTE(TRIM(Base_Original!D94),"anos",""))</f>
        <v>43</v>
      </c>
      <c r="H94" s="50">
        <f>IF($J94="","Vazio",DATEDIF($J94,DATE(2026,9,10),"Y"))</f>
        <v>43</v>
      </c>
      <c r="I9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94" s="33">
        <v>30391</v>
      </c>
      <c r="K94" s="42" t="s">
        <v>40</v>
      </c>
      <c r="L94" s="42" t="str">
        <f>PROPER(Base_Original!G94)</f>
        <v>Norte</v>
      </c>
      <c r="M94" s="43">
        <v>7100</v>
      </c>
      <c r="N94" s="43">
        <f>IF(ISNUMBER(Base_Original!I94),Base_Original!I94,IF(RIGHT(Base_Original!I94,7)=" moedas",VALUE(LEFT(Base_Original!I94,LEN(Base_Original!I94)-7)),Base_Original!I94))</f>
        <v>5500</v>
      </c>
      <c r="O94" s="44" t="str">
        <f>IF(AND($N94&gt;50000,$Q94="Sim"),"Negada","Aprovada")</f>
        <v>Aprovada</v>
      </c>
      <c r="P94" s="45" t="str">
        <f>IF(AND($T94="Negada",$O94="Negada"),0,IF($B94="Ativo",$U94*8%,"0"))</f>
        <v>0</v>
      </c>
      <c r="Q94" s="46" t="str">
        <f>IF(OR(Base_Original!J94="Sim",Base_Original!J94="sim",Base_Original!J94="SIM"),"Sim",IF(OR(Base_Original!J94="Não",Base_Original!J94="não",Base_Original!J94="NÃO",Base_Original!J94="Nao"),"Não",IF(Base_Original!J94="","vazio",Base_Original!J94)))</f>
        <v>Não</v>
      </c>
      <c r="R94" s="46">
        <f>IF(ISNUMBER(Base_Original!K94),Base_Original!K94,IF(RIGHT(Base_Original!K94,9)=" batalhas",VALUE(LEFT(Base_Original!K94,LEN(Base_Original!K94)-9)),Base_Original!K94))</f>
        <v>23</v>
      </c>
      <c r="S94" s="42" t="str">
        <f>IF($R94="vazio","vazio",IF($R94&lt;=10,"Baixo",IF($R94&lt;=25,"Médio","Alto")))</f>
        <v>Médio</v>
      </c>
      <c r="T94" s="42" t="str">
        <f>IF(AND($S94="Alto",$Q94="Sim"),"Negada","Aprovada")</f>
        <v>Aprovada</v>
      </c>
      <c r="U94" s="43">
        <v>67000</v>
      </c>
    </row>
    <row r="95" spans="1:21">
      <c r="A95" s="47" t="s">
        <v>949</v>
      </c>
      <c r="B95" s="37" t="str">
        <f>IF(Base_Original!A95="","vazio",IF(Base_Original!A95="ATIVO","Ativo",IF(Base_Original!A95="INATIVO","Inativo",Base_Original!A95)))</f>
        <v>Inativo</v>
      </c>
      <c r="C95" s="37" t="str">
        <f>PROPER(Base_Original!B95)</f>
        <v>Eddard Dayne</v>
      </c>
      <c r="D95" s="38">
        <v>3200</v>
      </c>
      <c r="E95" s="39" t="str">
        <f>IF($D95="","Vazio",IF(LEN(SUBSTITUTE(SUBSTITUTE($D95&amp;"",".",""),"-",""))&lt;&gt;11,"Inválido","OK"))</f>
        <v>Inválido</v>
      </c>
      <c r="F95" s="39" t="str">
        <f>IF($D95="","Vazio",IF(COUNTIF($D$2:$D$369,$D95)&gt;1,"Duplicado","Único"))</f>
        <v>Único</v>
      </c>
      <c r="G95" s="40" t="str">
        <f>IF(TRIM(Base_Original!D95)="","",SUBSTITUTE(TRIM(Base_Original!D95),"anos",""))</f>
        <v>31</v>
      </c>
      <c r="H95" s="50">
        <f>IF($J95="","Vazio",DATEDIF($J95,DATE(2026,9,10),"Y"))</f>
        <v>31</v>
      </c>
      <c r="I9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95" s="33">
        <v>34746</v>
      </c>
      <c r="K95" s="42" t="s">
        <v>62</v>
      </c>
      <c r="L95" s="42" t="str">
        <f>PROPER(Base_Original!G95)</f>
        <v>Essos</v>
      </c>
      <c r="M95" s="43">
        <v>18200</v>
      </c>
      <c r="N95" s="43">
        <f>IF(ISNUMBER(Base_Original!I95),Base_Original!I95,IF(RIGHT(Base_Original!I95,7)=" moedas",VALUE(LEFT(Base_Original!I95,LEN(Base_Original!I95)-7)),Base_Original!I95))</f>
        <v>78500</v>
      </c>
      <c r="O95" s="44" t="str">
        <f>IF(AND($N95&gt;50000,$Q95="Sim"),"Negada","Aprovada")</f>
        <v>Aprovada</v>
      </c>
      <c r="P95" s="45" t="str">
        <f>IF(AND($T95="Negada",$O95="Negada"),0,IF($B95="Ativo",$U95*8%,"0"))</f>
        <v>0</v>
      </c>
      <c r="Q95" s="46" t="str">
        <f>IF(OR(Base_Original!J95="Sim",Base_Original!J95="sim",Base_Original!J95="SIM"),"Sim",IF(OR(Base_Original!J95="Não",Base_Original!J95="não",Base_Original!J95="NÃO",Base_Original!J95="Nao"),"Não",IF(Base_Original!J95="","vazio",Base_Original!J95)))</f>
        <v>Não</v>
      </c>
      <c r="R95" s="46">
        <f>IF(ISNUMBER(Base_Original!K95),Base_Original!K95,IF(RIGHT(Base_Original!K95,9)=" batalhas",VALUE(LEFT(Base_Original!K95,LEN(Base_Original!K95)-9)),Base_Original!K95))</f>
        <v>9</v>
      </c>
      <c r="S95" s="42" t="str">
        <f>IF($R95="vazio","vazio",IF($R95&lt;=10,"Baixo",IF($R95&lt;=25,"Médio","Alto")))</f>
        <v>Baixo</v>
      </c>
      <c r="T95" s="42" t="str">
        <f>IF(AND($S95="Alto",$Q95="Sim"),"Negada","Aprovada")</f>
        <v>Aprovada</v>
      </c>
      <c r="U95" s="43">
        <v>73000</v>
      </c>
    </row>
    <row r="96" spans="1:21">
      <c r="A96" s="47" t="s">
        <v>950</v>
      </c>
      <c r="B96" s="37" t="str">
        <f>IF(Base_Original!A96="","vazio",IF(Base_Original!A96="ATIVO","Ativo",IF(Base_Original!A96="INATIVO","Inativo",Base_Original!A96)))</f>
        <v>Inativo</v>
      </c>
      <c r="C96" s="37" t="str">
        <f>PROPER(Base_Original!B96)</f>
        <v>Eddard Greyjoy</v>
      </c>
      <c r="D96" s="38" t="s">
        <v>254</v>
      </c>
      <c r="E96" s="39" t="str">
        <f>IF($D96="","Vazio",IF(LEN(SUBSTITUTE(SUBSTITUTE($D96&amp;"",".",""),"-",""))&lt;&gt;11,"Inválido","OK"))</f>
        <v>OK</v>
      </c>
      <c r="F96" s="39" t="str">
        <f>IF($D96="","Vazio",IF(COUNTIF($D$2:$D$369,$D96)&gt;1,"Duplicado","Único"))</f>
        <v>Único</v>
      </c>
      <c r="G96" s="40" t="str">
        <f>IF(TRIM(Base_Original!D96)="","",SUBSTITUTE(TRIM(Base_Original!D96),"anos",""))</f>
        <v>55</v>
      </c>
      <c r="H96" s="50">
        <f>IF($J96="","Vazio",DATEDIF($J96,DATE(2026,9,10),"Y"))</f>
        <v>55</v>
      </c>
      <c r="I9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96" s="33">
        <v>25848</v>
      </c>
      <c r="K96" s="42" t="s">
        <v>30</v>
      </c>
      <c r="L96" s="42" t="str">
        <f>PROPER(Base_Original!G96)</f>
        <v>Essos</v>
      </c>
      <c r="M96" s="43" t="s">
        <v>880</v>
      </c>
      <c r="N96" s="43">
        <f>IF(ISNUMBER(Base_Original!I96),Base_Original!I96,IF(RIGHT(Base_Original!I96,7)=" moedas",VALUE(LEFT(Base_Original!I96,LEN(Base_Original!I96)-7)),Base_Original!I96))</f>
        <v>5000</v>
      </c>
      <c r="O96" s="44" t="str">
        <f>IF(AND($N96&gt;50000,$Q96="Sim"),"Negada","Aprovada")</f>
        <v>Aprovada</v>
      </c>
      <c r="P96" s="45" t="str">
        <f>IF(AND($T96="Negada",$O96="Negada"),0,IF($B96="Ativo",$U96*8%,"0"))</f>
        <v>0</v>
      </c>
      <c r="Q96" s="46" t="str">
        <f>IF(OR(Base_Original!J96="Sim",Base_Original!J96="sim",Base_Original!J96="SIM"),"Sim",IF(OR(Base_Original!J96="Não",Base_Original!J96="não",Base_Original!J96="NÃO",Base_Original!J96="Nao"),"Não",IF(Base_Original!J96="","vazio",Base_Original!J96)))</f>
        <v>Não</v>
      </c>
      <c r="R96" s="46">
        <f>IF(ISNUMBER(Base_Original!K96),Base_Original!K96,IF(RIGHT(Base_Original!K96,9)=" batalhas",VALUE(LEFT(Base_Original!K96,LEN(Base_Original!K96)-9)),Base_Original!K96))</f>
        <v>8</v>
      </c>
      <c r="S96" s="42" t="str">
        <f>IF($R96="vazio","vazio",IF($R96&lt;=10,"Baixo",IF($R96&lt;=25,"Médio","Alto")))</f>
        <v>Baixo</v>
      </c>
      <c r="T96" s="42" t="str">
        <f>IF(AND($S96="Alto",$Q96="Sim"),"Negada","Aprovada")</f>
        <v>Aprovada</v>
      </c>
      <c r="U96" s="43">
        <v>11000</v>
      </c>
    </row>
    <row r="97" spans="1:21">
      <c r="A97" s="47" t="s">
        <v>951</v>
      </c>
      <c r="B97" s="37" t="str">
        <f>IF(Base_Original!A97="","vazio",IF(Base_Original!A97="ATIVO","Ativo",IF(Base_Original!A97="INATIVO","Inativo",Base_Original!A97)))</f>
        <v>Ativo</v>
      </c>
      <c r="C97" s="37" t="str">
        <f>PROPER(Base_Original!B97)</f>
        <v>Eddard Mallister</v>
      </c>
      <c r="D97" s="38" t="s">
        <v>256</v>
      </c>
      <c r="E97" s="39" t="str">
        <f>IF($D97="","Vazio",IF(LEN(SUBSTITUTE(SUBSTITUTE($D97&amp;"",".",""),"-",""))&lt;&gt;11,"Inválido","OK"))</f>
        <v>OK</v>
      </c>
      <c r="F97" s="39" t="str">
        <f>IF($D97="","Vazio",IF(COUNTIF($D$2:$D$369,$D97)&gt;1,"Duplicado","Único"))</f>
        <v>Único</v>
      </c>
      <c r="G97" s="40" t="str">
        <f>IF(TRIM(Base_Original!D97)="","",SUBSTITUTE(TRIM(Base_Original!D97),"anos",""))</f>
        <v>47</v>
      </c>
      <c r="H97" s="50">
        <f>IF($J97="","Vazio",DATEDIF($J97,DATE(2026,9,10),"Y"))</f>
        <v>47</v>
      </c>
      <c r="I9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97" s="33">
        <v>28802</v>
      </c>
      <c r="K97" s="42" t="s">
        <v>150</v>
      </c>
      <c r="L97" s="42" t="str">
        <f>PROPER(Base_Original!G97)</f>
        <v>Gargalo</v>
      </c>
      <c r="M97" s="43">
        <v>22700</v>
      </c>
      <c r="N97" s="43">
        <f>IF(ISNUMBER(Base_Original!I97),Base_Original!I97,IF(RIGHT(Base_Original!I97,7)=" moedas",VALUE(LEFT(Base_Original!I97,LEN(Base_Original!I97)-7)),Base_Original!I97))</f>
        <v>8500</v>
      </c>
      <c r="O97" s="44" t="str">
        <f>IF(AND($N97&gt;50000,$Q97="Sim"),"Negada","Aprovada")</f>
        <v>Aprovada</v>
      </c>
      <c r="P97" s="45">
        <f>IF(AND($T97="Negada",$O97="Negada"),0,IF($B97="Ativo",$U97*8%,"0"))</f>
        <v>1880</v>
      </c>
      <c r="Q97" s="46" t="str">
        <f>IF(OR(Base_Original!J97="Sim",Base_Original!J97="sim",Base_Original!J97="SIM"),"Sim",IF(OR(Base_Original!J97="Não",Base_Original!J97="não",Base_Original!J97="NÃO",Base_Original!J97="Nao"),"Não",IF(Base_Original!J97="","vazio",Base_Original!J97)))</f>
        <v>vazio</v>
      </c>
      <c r="R97" s="46">
        <f>IF(ISNUMBER(Base_Original!K97),Base_Original!K97,IF(RIGHT(Base_Original!K97,9)=" batalhas",VALUE(LEFT(Base_Original!K97,LEN(Base_Original!K97)-9)),Base_Original!K97))</f>
        <v>35</v>
      </c>
      <c r="S97" s="42" t="str">
        <f>IF($R97="vazio","vazio",IF($R97&lt;=10,"Baixo",IF($R97&lt;=25,"Médio","Alto")))</f>
        <v>Alto</v>
      </c>
      <c r="T97" s="42" t="str">
        <f>IF(AND($S97="Alto",$Q97="Sim"),"Negada","Aprovada")</f>
        <v>Aprovada</v>
      </c>
      <c r="U97" s="43">
        <v>23500</v>
      </c>
    </row>
    <row r="98" spans="1:21">
      <c r="A98" s="47" t="s">
        <v>952</v>
      </c>
      <c r="B98" s="37" t="str">
        <f>IF(Base_Original!A98="","vazio",IF(Base_Original!A98="ATIVO","Ativo",IF(Base_Original!A98="INATIVO","Inativo",Base_Original!A98)))</f>
        <v>Ativo</v>
      </c>
      <c r="C98" s="37" t="str">
        <f>PROPER(Base_Original!B98)</f>
        <v>Eddard Payne</v>
      </c>
      <c r="D98" s="38">
        <v>15900</v>
      </c>
      <c r="E98" s="39" t="str">
        <f>IF($D98="","Vazio",IF(LEN(SUBSTITUTE(SUBSTITUTE($D98&amp;"",".",""),"-",""))&lt;&gt;11,"Inválido","OK"))</f>
        <v>Inválido</v>
      </c>
      <c r="F98" s="39" t="str">
        <f>IF($D98="","Vazio",IF(COUNTIF($D$2:$D$369,$D98)&gt;1,"Duplicado","Único"))</f>
        <v>Único</v>
      </c>
      <c r="G98" s="40" t="str">
        <f>IF(TRIM(Base_Original!D98)="","",SUBSTITUTE(TRIM(Base_Original!D98),"anos",""))</f>
        <v>26</v>
      </c>
      <c r="H98" s="50">
        <f>IF($J98="","Vazio",DATEDIF($J98,DATE(2026,9,10),"Y"))</f>
        <v>27</v>
      </c>
      <c r="I9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Diferente</v>
      </c>
      <c r="J98" s="33">
        <v>36411</v>
      </c>
      <c r="K98" s="42" t="s">
        <v>25</v>
      </c>
      <c r="L98" s="42" t="str">
        <f>PROPER(Base_Original!G98)</f>
        <v>Terras Fluviais</v>
      </c>
      <c r="M98" s="43">
        <v>9200</v>
      </c>
      <c r="N98" s="43">
        <f>IF(ISNUMBER(Base_Original!I98),Base_Original!I98,IF(RIGHT(Base_Original!I98,7)=" moedas",VALUE(LEFT(Base_Original!I98,LEN(Base_Original!I98)-7)),Base_Original!I98))</f>
        <v>68500</v>
      </c>
      <c r="O98" s="44" t="str">
        <f>IF(AND($N98&gt;50000,$Q98="Sim"),"Negada","Aprovada")</f>
        <v>Aprovada</v>
      </c>
      <c r="P98" s="45">
        <f>IF(AND($T98="Negada",$O98="Negada"),0,IF($B98="Ativo",$U98*8%,"0"))</f>
        <v>560</v>
      </c>
      <c r="Q98" s="46" t="str">
        <f>IF(OR(Base_Original!J98="Sim",Base_Original!J98="sim",Base_Original!J98="SIM"),"Sim",IF(OR(Base_Original!J98="Não",Base_Original!J98="não",Base_Original!J98="NÃO",Base_Original!J98="Nao"),"Não",IF(Base_Original!J98="","vazio",Base_Original!J98)))</f>
        <v>Não</v>
      </c>
      <c r="R98" s="46">
        <f>IF(ISNUMBER(Base_Original!K98),Base_Original!K98,IF(RIGHT(Base_Original!K98,9)=" batalhas",VALUE(LEFT(Base_Original!K98,LEN(Base_Original!K98)-9)),Base_Original!K98))</f>
        <v>27</v>
      </c>
      <c r="S98" s="42" t="str">
        <f>IF($R98="vazio","vazio",IF($R98&lt;=10,"Baixo",IF($R98&lt;=25,"Médio","Alto")))</f>
        <v>Alto</v>
      </c>
      <c r="T98" s="42" t="str">
        <f>IF(AND($S98="Alto",$Q98="Sim"),"Negada","Aprovada")</f>
        <v>Aprovada</v>
      </c>
      <c r="U98" s="43">
        <v>7000</v>
      </c>
    </row>
    <row r="99" spans="1:21">
      <c r="A99" s="47" t="s">
        <v>953</v>
      </c>
      <c r="B99" s="37" t="str">
        <f>IF(Base_Original!A99="","vazio",IF(Base_Original!A99="ATIVO","Ativo",IF(Base_Original!A99="INATIVO","Inativo",Base_Original!A99)))</f>
        <v>Ativo</v>
      </c>
      <c r="C99" s="37" t="str">
        <f>PROPER(Base_Original!B99)</f>
        <v>Eddard Royce</v>
      </c>
      <c r="D99" s="38" t="s">
        <v>260</v>
      </c>
      <c r="E99" s="39" t="str">
        <f>IF($D99="","Vazio",IF(LEN(SUBSTITUTE(SUBSTITUTE($D99&amp;"",".",""),"-",""))&lt;&gt;11,"Inválido","OK"))</f>
        <v>OK</v>
      </c>
      <c r="F99" s="39" t="str">
        <f>IF($D99="","Vazio",IF(COUNTIF($D$2:$D$369,$D99)&gt;1,"Duplicado","Único"))</f>
        <v>Único</v>
      </c>
      <c r="G99" s="40" t="str">
        <f>IF(TRIM(Base_Original!D99)="","",SUBSTITUTE(TRIM(Base_Original!D99),"anos",""))</f>
        <v>73</v>
      </c>
      <c r="H99" s="50">
        <f>IF($J99="","Vazio",DATEDIF($J99,DATE(2026,9,10),"Y"))</f>
        <v>73</v>
      </c>
      <c r="I9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99" s="33">
        <v>19314</v>
      </c>
      <c r="K99" s="42" t="s">
        <v>69</v>
      </c>
      <c r="L99" s="42" t="str">
        <f>PROPER(Base_Original!G99)</f>
        <v>Terras Da Coroa</v>
      </c>
      <c r="M99" s="43">
        <v>6100</v>
      </c>
      <c r="N99" s="43">
        <f>IF(ISNUMBER(Base_Original!I99),Base_Original!I99,IF(RIGHT(Base_Original!I99,7)=" moedas",VALUE(LEFT(Base_Original!I99,LEN(Base_Original!I99)-7)),Base_Original!I99))</f>
        <v>16000</v>
      </c>
      <c r="O99" s="44" t="str">
        <f>IF(AND($N99&gt;50000,$Q99="Sim"),"Negada","Aprovada")</f>
        <v>Aprovada</v>
      </c>
      <c r="P99" s="45">
        <f>IF(AND($T99="Negada",$O99="Negada"),0,IF($B99="Ativo",$U99*8%,"0"))</f>
        <v>1960</v>
      </c>
      <c r="Q99" s="46" t="str">
        <f>IF(OR(Base_Original!J99="Sim",Base_Original!J99="sim",Base_Original!J99="SIM"),"Sim",IF(OR(Base_Original!J99="Não",Base_Original!J99="não",Base_Original!J99="NÃO",Base_Original!J99="Nao"),"Não",IF(Base_Original!J99="","vazio",Base_Original!J99)))</f>
        <v>Não</v>
      </c>
      <c r="R99" s="46">
        <f>IF(ISNUMBER(Base_Original!K99),Base_Original!K99,IF(RIGHT(Base_Original!K99,9)=" batalhas",VALUE(LEFT(Base_Original!K99,LEN(Base_Original!K99)-9)),Base_Original!K99))</f>
        <v>9</v>
      </c>
      <c r="S99" s="42" t="str">
        <f>IF($R99="vazio","vazio",IF($R99&lt;=10,"Baixo",IF($R99&lt;=25,"Médio","Alto")))</f>
        <v>Baixo</v>
      </c>
      <c r="T99" s="42" t="str">
        <f>IF(AND($S99="Alto",$Q99="Sim"),"Negada","Aprovada")</f>
        <v>Aprovada</v>
      </c>
      <c r="U99" s="43">
        <v>24500</v>
      </c>
    </row>
    <row r="100" spans="1:21">
      <c r="A100" s="47" t="s">
        <v>954</v>
      </c>
      <c r="B100" s="37" t="str">
        <f>IF(Base_Original!A100="","vazio",IF(Base_Original!A100="ATIVO","Ativo",IF(Base_Original!A100="INATIVO","Inativo",Base_Original!A100)))</f>
        <v>Inativo</v>
      </c>
      <c r="C100" s="37" t="str">
        <f>PROPER(Base_Original!B100)</f>
        <v>Eddard Stark</v>
      </c>
      <c r="D100" s="38" t="s">
        <v>263</v>
      </c>
      <c r="E100" s="39" t="str">
        <f>IF($D100="","Vazio",IF(LEN(SUBSTITUTE(SUBSTITUTE($D100&amp;"",".",""),"-",""))&lt;&gt;11,"Inválido","OK"))</f>
        <v>OK</v>
      </c>
      <c r="F100" s="39" t="str">
        <f>IF($D100="","Vazio",IF(COUNTIF($D$2:$D$369,$D100)&gt;1,"Duplicado","Único"))</f>
        <v>Único</v>
      </c>
      <c r="G100" s="40" t="str">
        <f>IF(TRIM(Base_Original!D100)="","",SUBSTITUTE(TRIM(Base_Original!D100),"anos",""))</f>
        <v>55</v>
      </c>
      <c r="H100" s="50">
        <f>IF($J100="","Vazio",DATEDIF($J100,DATE(2026,9,10),"Y"))</f>
        <v>55</v>
      </c>
      <c r="I10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00" s="33">
        <v>26142</v>
      </c>
      <c r="K100" s="42" t="s">
        <v>51</v>
      </c>
      <c r="L100" s="42" t="str">
        <f>PROPER(Base_Original!G100)</f>
        <v>Vale</v>
      </c>
      <c r="M100" s="43">
        <v>29700</v>
      </c>
      <c r="N100" s="43">
        <f>IF(ISNUMBER(Base_Original!I100),Base_Original!I100,IF(RIGHT(Base_Original!I100,7)=" moedas",VALUE(LEFT(Base_Original!I100,LEN(Base_Original!I100)-7)),Base_Original!I100))</f>
        <v>78000</v>
      </c>
      <c r="O100" s="44" t="str">
        <f>IF(AND($N100&gt;50000,$Q100="Sim"),"Negada","Aprovada")</f>
        <v>Negada</v>
      </c>
      <c r="P100" s="45" t="str">
        <f>IF(AND($T100="Negada",$O100="Negada"),0,IF($B100="Ativo",$U100*8%,"0"))</f>
        <v>0</v>
      </c>
      <c r="Q100" s="46" t="str">
        <f>IF(OR(Base_Original!J100="Sim",Base_Original!J100="sim",Base_Original!J100="SIM"),"Sim",IF(OR(Base_Original!J100="Não",Base_Original!J100="não",Base_Original!J100="NÃO",Base_Original!J100="Nao"),"Não",IF(Base_Original!J100="","vazio",Base_Original!J100)))</f>
        <v>Sim</v>
      </c>
      <c r="R100" s="46">
        <f>IF(ISNUMBER(Base_Original!K100),Base_Original!K100,IF(RIGHT(Base_Original!K100,9)=" batalhas",VALUE(LEFT(Base_Original!K100,LEN(Base_Original!K100)-9)),Base_Original!K100))</f>
        <v>14</v>
      </c>
      <c r="S100" s="42" t="str">
        <f>IF($R100="vazio","vazio",IF($R100&lt;=10,"Baixo",IF($R100&lt;=25,"Médio","Alto")))</f>
        <v>Médio</v>
      </c>
      <c r="T100" s="42" t="str">
        <f>IF(AND($S100="Alto",$Q100="Sim"),"Negada","Aprovada")</f>
        <v>Aprovada</v>
      </c>
      <c r="U100" s="43">
        <v>27000</v>
      </c>
    </row>
    <row r="101" spans="1:21">
      <c r="A101" s="47" t="s">
        <v>955</v>
      </c>
      <c r="B101" s="37" t="str">
        <f>IF(Base_Original!A101="","vazio",IF(Base_Original!A101="ATIVO","Ativo",IF(Base_Original!A101="INATIVO","Inativo",Base_Original!A101)))</f>
        <v>Inativo</v>
      </c>
      <c r="C101" s="37" t="str">
        <f>PROPER(Base_Original!B101)</f>
        <v>Eddard Westerling</v>
      </c>
      <c r="D101" s="38" t="s">
        <v>268</v>
      </c>
      <c r="E101" s="39" t="str">
        <f>IF($D101="","Vazio",IF(LEN(SUBSTITUTE(SUBSTITUTE($D101&amp;"",".",""),"-",""))&lt;&gt;11,"Inválido","OK"))</f>
        <v>OK</v>
      </c>
      <c r="F101" s="39" t="str">
        <f>IF($D101="","Vazio",IF(COUNTIF($D$2:$D$369,$D101)&gt;1,"Duplicado","Único"))</f>
        <v>Único</v>
      </c>
      <c r="G101" s="40" t="str">
        <f>IF(TRIM(Base_Original!D101)="","",SUBSTITUTE(TRIM(Base_Original!D101),"anos",""))</f>
        <v>52</v>
      </c>
      <c r="H101" s="50">
        <f>IF($J101="","Vazio",DATEDIF($J101,DATE(2026,9,10),"Y"))</f>
        <v>52</v>
      </c>
      <c r="I10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01" s="33">
        <v>27186</v>
      </c>
      <c r="K101" s="42" t="s">
        <v>180</v>
      </c>
      <c r="L101" s="42" t="str">
        <f>PROPER(Base_Original!G101)</f>
        <v>Terras Da Tempestade</v>
      </c>
      <c r="M101" s="43">
        <v>6400</v>
      </c>
      <c r="N101" s="43">
        <f>IF(ISNUMBER(Base_Original!I101),Base_Original!I101,IF(RIGHT(Base_Original!I101,7)=" moedas",VALUE(LEFT(Base_Original!I101,LEN(Base_Original!I101)-7)),Base_Original!I101))</f>
        <v>37000</v>
      </c>
      <c r="O101" s="44" t="str">
        <f>IF(AND($N101&gt;50000,$Q101="Sim"),"Negada","Aprovada")</f>
        <v>Aprovada</v>
      </c>
      <c r="P101" s="45" t="str">
        <f>IF(AND($T101="Negada",$O101="Negada"),0,IF($B101="Ativo",$U101*8%,"0"))</f>
        <v>0</v>
      </c>
      <c r="Q101" s="46" t="str">
        <f>IF(OR(Base_Original!J101="Sim",Base_Original!J101="sim",Base_Original!J101="SIM"),"Sim",IF(OR(Base_Original!J101="Não",Base_Original!J101="não",Base_Original!J101="NÃO",Base_Original!J101="Nao"),"Não",IF(Base_Original!J101="","vazio",Base_Original!J101)))</f>
        <v>Não</v>
      </c>
      <c r="R101" s="46">
        <f>IF(ISNUMBER(Base_Original!K101),Base_Original!K101,IF(RIGHT(Base_Original!K101,9)=" batalhas",VALUE(LEFT(Base_Original!K101,LEN(Base_Original!K101)-9)),Base_Original!K101))</f>
        <v>1</v>
      </c>
      <c r="S101" s="42" t="str">
        <f>IF($R101="vazio","vazio",IF($R101&lt;=10,"Baixo",IF($R101&lt;=25,"Médio","Alto")))</f>
        <v>Baixo</v>
      </c>
      <c r="T101" s="42" t="str">
        <f>IF(AND($S101="Alto",$Q101="Sim"),"Negada","Aprovada")</f>
        <v>Aprovada</v>
      </c>
      <c r="U101" s="43">
        <v>87000</v>
      </c>
    </row>
    <row r="102" spans="1:21">
      <c r="A102" s="47" t="s">
        <v>956</v>
      </c>
      <c r="B102" s="37" t="str">
        <f>IF(Base_Original!A102="","vazio",IF(Base_Original!A102="ATIVO","Ativo",IF(Base_Original!A102="INATIVO","Inativo",Base_Original!A102)))</f>
        <v>Inativo</v>
      </c>
      <c r="C102" s="37" t="str">
        <f>PROPER(Base_Original!B102)</f>
        <v>Ellaria  Reed</v>
      </c>
      <c r="D102" s="38" t="s">
        <v>270</v>
      </c>
      <c r="E102" s="39" t="str">
        <f>IF($D102="","Vazio",IF(LEN(SUBSTITUTE(SUBSTITUTE($D102&amp;"",".",""),"-",""))&lt;&gt;11,"Inválido","OK"))</f>
        <v>OK</v>
      </c>
      <c r="F102" s="39" t="str">
        <f>IF($D102="","Vazio",IF(COUNTIF($D$2:$D$369,$D102)&gt;1,"Duplicado","Único"))</f>
        <v>Único</v>
      </c>
      <c r="G102" s="40" t="str">
        <f>IF(TRIM(Base_Original!D102)="","",SUBSTITUTE(TRIM(Base_Original!D102),"anos",""))</f>
        <v>70</v>
      </c>
      <c r="H102" s="50">
        <f>IF($J102="","Vazio",DATEDIF($J102,DATE(2026,9,10),"Y"))</f>
        <v>70</v>
      </c>
      <c r="I10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02" s="33">
        <v>20502</v>
      </c>
      <c r="K102" s="42" t="s">
        <v>91</v>
      </c>
      <c r="L102" s="42" t="str">
        <f>PROPER(Base_Original!G102)</f>
        <v>Oeste</v>
      </c>
      <c r="M102" s="43">
        <v>2500</v>
      </c>
      <c r="N102" s="43">
        <f>IF(ISNUMBER(Base_Original!I102),Base_Original!I102,IF(RIGHT(Base_Original!I102,7)=" moedas",VALUE(LEFT(Base_Original!I102,LEN(Base_Original!I102)-7)),Base_Original!I102))</f>
        <v>0</v>
      </c>
      <c r="O102" s="44" t="str">
        <f>IF(AND($N102&gt;50000,$Q102="Sim"),"Negada","Aprovada")</f>
        <v>Aprovada</v>
      </c>
      <c r="P102" s="45" t="str">
        <f>IF(AND($T102="Negada",$O102="Negada"),0,IF($B102="Ativo",$U102*8%,"0"))</f>
        <v>0</v>
      </c>
      <c r="Q102" s="46" t="str">
        <f>IF(OR(Base_Original!J102="Sim",Base_Original!J102="sim",Base_Original!J102="SIM"),"Sim",IF(OR(Base_Original!J102="Não",Base_Original!J102="não",Base_Original!J102="NÃO",Base_Original!J102="Nao"),"Não",IF(Base_Original!J102="","vazio",Base_Original!J102)))</f>
        <v>Não</v>
      </c>
      <c r="R102" s="46">
        <f>IF(ISNUMBER(Base_Original!K102),Base_Original!K102,IF(RIGHT(Base_Original!K102,9)=" batalhas",VALUE(LEFT(Base_Original!K102,LEN(Base_Original!K102)-9)),Base_Original!K102))</f>
        <v>38</v>
      </c>
      <c r="S102" s="42" t="str">
        <f>IF($R102="vazio","vazio",IF($R102&lt;=10,"Baixo",IF($R102&lt;=25,"Médio","Alto")))</f>
        <v>Alto</v>
      </c>
      <c r="T102" s="42" t="str">
        <f>IF(AND($S102="Alto",$Q102="Sim"),"Negada","Aprovada")</f>
        <v>Aprovada</v>
      </c>
      <c r="U102" s="43">
        <v>44500</v>
      </c>
    </row>
    <row r="103" spans="1:21">
      <c r="A103" s="47" t="s">
        <v>957</v>
      </c>
      <c r="B103" s="37" t="str">
        <f>IF(Base_Original!A103="","vazio",IF(Base_Original!A103="ATIVO","Ativo",IF(Base_Original!A103="INATIVO","Inativo",Base_Original!A103)))</f>
        <v>Ativo</v>
      </c>
      <c r="C103" s="37" t="str">
        <f>PROPER(Base_Original!B103)</f>
        <v>Ellaria Baelish</v>
      </c>
      <c r="D103" s="38" t="s">
        <v>272</v>
      </c>
      <c r="E103" s="39" t="str">
        <f>IF($D103="","Vazio",IF(LEN(SUBSTITUTE(SUBSTITUTE($D103&amp;"",".",""),"-",""))&lt;&gt;11,"Inválido","OK"))</f>
        <v>OK</v>
      </c>
      <c r="F103" s="39" t="str">
        <f>IF($D103="","Vazio",IF(COUNTIF($D$2:$D$369,$D103)&gt;1,"Duplicado","Único"))</f>
        <v>Único</v>
      </c>
      <c r="G103" s="40" t="str">
        <f>IF(TRIM(Base_Original!D103)="","",SUBSTITUTE(TRIM(Base_Original!D103),"anos",""))</f>
        <v>32</v>
      </c>
      <c r="H103" s="50">
        <f>IF($J103="","Vazio",DATEDIF($J103,DATE(2026,9,10),"Y"))</f>
        <v>32</v>
      </c>
      <c r="I10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03" s="33">
        <v>34347</v>
      </c>
      <c r="K103" s="42" t="s">
        <v>51</v>
      </c>
      <c r="L103" s="42" t="str">
        <f>PROPER(Base_Original!G103)</f>
        <v>Vale</v>
      </c>
      <c r="M103" s="43">
        <v>15600</v>
      </c>
      <c r="N103" s="43">
        <f>IF(ISNUMBER(Base_Original!I103),Base_Original!I103,IF(RIGHT(Base_Original!I103,7)=" moedas",VALUE(LEFT(Base_Original!I103,LEN(Base_Original!I103)-7)),Base_Original!I103))</f>
        <v>0</v>
      </c>
      <c r="O103" s="44" t="str">
        <f>IF(AND($N103&gt;50000,$Q103="Sim"),"Negada","Aprovada")</f>
        <v>Aprovada</v>
      </c>
      <c r="P103" s="45">
        <f>IF(AND($T103="Negada",$O103="Negada"),0,IF($B103="Ativo",$U103*8%,"0"))</f>
        <v>1280</v>
      </c>
      <c r="Q103" s="46" t="str">
        <f>IF(OR(Base_Original!J103="Sim",Base_Original!J103="sim",Base_Original!J103="SIM"),"Sim",IF(OR(Base_Original!J103="Não",Base_Original!J103="não",Base_Original!J103="NÃO",Base_Original!J103="Nao"),"Não",IF(Base_Original!J103="","vazio",Base_Original!J103)))</f>
        <v>Sim</v>
      </c>
      <c r="R103" s="46">
        <f>IF(ISNUMBER(Base_Original!K103),Base_Original!K103,IF(RIGHT(Base_Original!K103,9)=" batalhas",VALUE(LEFT(Base_Original!K103,LEN(Base_Original!K103)-9)),Base_Original!K103))</f>
        <v>34</v>
      </c>
      <c r="S103" s="42" t="str">
        <f>IF($R103="vazio","vazio",IF($R103&lt;=10,"Baixo",IF($R103&lt;=25,"Médio","Alto")))</f>
        <v>Alto</v>
      </c>
      <c r="T103" s="42" t="str">
        <f>IF(AND($S103="Alto",$Q103="Sim"),"Negada","Aprovada")</f>
        <v>Negada</v>
      </c>
      <c r="U103" s="43">
        <v>16000</v>
      </c>
    </row>
    <row r="104" spans="1:21">
      <c r="A104" s="47" t="s">
        <v>958</v>
      </c>
      <c r="B104" s="37" t="str">
        <f>IF(Base_Original!A104="","vazio",IF(Base_Original!A104="ATIVO","Ativo",IF(Base_Original!A104="INATIVO","Inativo",Base_Original!A104)))</f>
        <v>Inativo</v>
      </c>
      <c r="C104" s="37" t="str">
        <f>PROPER(Base_Original!B104)</f>
        <v>Ellaria Bracken</v>
      </c>
      <c r="D104" s="38" t="s">
        <v>274</v>
      </c>
      <c r="E104" s="39" t="str">
        <f>IF($D104="","Vazio",IF(LEN(SUBSTITUTE(SUBSTITUTE($D104&amp;"",".",""),"-",""))&lt;&gt;11,"Inválido","OK"))</f>
        <v>OK</v>
      </c>
      <c r="F104" s="39" t="str">
        <f>IF($D104="","Vazio",IF(COUNTIF($D$2:$D$369,$D104)&gt;1,"Duplicado","Único"))</f>
        <v>Único</v>
      </c>
      <c r="G104" s="40" t="str">
        <f>IF(TRIM(Base_Original!D104)="","",SUBSTITUTE(TRIM(Base_Original!D104),"anos",""))</f>
        <v>59</v>
      </c>
      <c r="H104" s="50">
        <f>IF($J104="","Vazio",DATEDIF($J104,DATE(2026,9,10),"Y"))</f>
        <v>59</v>
      </c>
      <c r="I10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04" s="33">
        <v>24512</v>
      </c>
      <c r="K104" s="42" t="s">
        <v>275</v>
      </c>
      <c r="L104" s="42" t="str">
        <f>PROPER(Base_Original!G104)</f>
        <v>Campina</v>
      </c>
      <c r="M104" s="43">
        <v>6300</v>
      </c>
      <c r="N104" s="43">
        <f>IF(ISNUMBER(Base_Original!I104),Base_Original!I104,IF(RIGHT(Base_Original!I104,7)=" moedas",VALUE(LEFT(Base_Original!I104,LEN(Base_Original!I104)-7)),Base_Original!I104))</f>
        <v>15000</v>
      </c>
      <c r="O104" s="44" t="str">
        <f>IF(AND($N104&gt;50000,$Q104="Sim"),"Negada","Aprovada")</f>
        <v>Aprovada</v>
      </c>
      <c r="P104" s="45" t="str">
        <f>IF(AND($T104="Negada",$O104="Negada"),0,IF($B104="Ativo",$U104*8%,"0"))</f>
        <v>0</v>
      </c>
      <c r="Q104" s="46" t="str">
        <f>IF(OR(Base_Original!J104="Sim",Base_Original!J104="sim",Base_Original!J104="SIM"),"Sim",IF(OR(Base_Original!J104="Não",Base_Original!J104="não",Base_Original!J104="NÃO",Base_Original!J104="Nao"),"Não",IF(Base_Original!J104="","vazio",Base_Original!J104)))</f>
        <v>Não</v>
      </c>
      <c r="R104" s="46">
        <f>IF(ISNUMBER(Base_Original!K104),Base_Original!K104,IF(RIGHT(Base_Original!K104,9)=" batalhas",VALUE(LEFT(Base_Original!K104,LEN(Base_Original!K104)-9)),Base_Original!K104))</f>
        <v>42</v>
      </c>
      <c r="S104" s="42" t="str">
        <f>IF($R104="vazio","vazio",IF($R104&lt;=10,"Baixo",IF($R104&lt;=25,"Médio","Alto")))</f>
        <v>Alto</v>
      </c>
      <c r="T104" s="42" t="str">
        <f>IF(AND($S104="Alto",$Q104="Sim"),"Negada","Aprovada")</f>
        <v>Aprovada</v>
      </c>
      <c r="U104" s="43">
        <v>8500</v>
      </c>
    </row>
    <row r="105" spans="1:21">
      <c r="A105" s="47" t="s">
        <v>959</v>
      </c>
      <c r="B105" s="37" t="str">
        <f>IF(Base_Original!A105="","vazio",IF(Base_Original!A105="ATIVO","Ativo",IF(Base_Original!A105="INATIVO","Inativo",Base_Original!A105)))</f>
        <v>Ativo</v>
      </c>
      <c r="C105" s="37" t="str">
        <f>PROPER(Base_Original!B105)</f>
        <v>Ellaria Cerwyn</v>
      </c>
      <c r="D105" s="38" t="s">
        <v>277</v>
      </c>
      <c r="E105" s="39" t="str">
        <f>IF($D105="","Vazio",IF(LEN(SUBSTITUTE(SUBSTITUTE($D105&amp;"",".",""),"-",""))&lt;&gt;11,"Inválido","OK"))</f>
        <v>OK</v>
      </c>
      <c r="F105" s="39" t="str">
        <f>IF($D105="","Vazio",IF(COUNTIF($D$2:$D$369,$D105)&gt;1,"Duplicado","Único"))</f>
        <v>Único</v>
      </c>
      <c r="G105" s="40" t="str">
        <f>IF(TRIM(Base_Original!D105)="","",SUBSTITUTE(TRIM(Base_Original!D105),"anos",""))</f>
        <v xml:space="preserve">51 </v>
      </c>
      <c r="H105" s="50">
        <f>IF($J105="","Vazio",DATEDIF($J105,DATE(2026,9,10),"Y"))</f>
        <v>51</v>
      </c>
      <c r="I10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05" s="33">
        <v>27378</v>
      </c>
      <c r="K105" s="42" t="s">
        <v>34</v>
      </c>
      <c r="L105" s="42" t="str">
        <f>PROPER(Base_Original!G105)</f>
        <v>Dorne</v>
      </c>
      <c r="M105" s="43">
        <v>11600</v>
      </c>
      <c r="N105" s="43">
        <f>IF(ISNUMBER(Base_Original!I105),Base_Original!I105,IF(RIGHT(Base_Original!I105,7)=" moedas",VALUE(LEFT(Base_Original!I105,LEN(Base_Original!I105)-7)),Base_Original!I105))</f>
        <v>41000</v>
      </c>
      <c r="O105" s="44" t="str">
        <f>IF(AND($N105&gt;50000,$Q105="Sim"),"Negada","Aprovada")</f>
        <v>Aprovada</v>
      </c>
      <c r="P105" s="45">
        <f>IF(AND($T105="Negada",$O105="Negada"),0,IF($B105="Ativo",$U105*8%,"0"))</f>
        <v>5360</v>
      </c>
      <c r="Q105" s="46" t="str">
        <f>IF(OR(Base_Original!J105="Sim",Base_Original!J105="sim",Base_Original!J105="SIM"),"Sim",IF(OR(Base_Original!J105="Não",Base_Original!J105="não",Base_Original!J105="NÃO",Base_Original!J105="Nao"),"Não",IF(Base_Original!J105="","vazio",Base_Original!J105)))</f>
        <v>Não</v>
      </c>
      <c r="R105" s="46">
        <f>IF(ISNUMBER(Base_Original!K105),Base_Original!K105,IF(RIGHT(Base_Original!K105,9)=" batalhas",VALUE(LEFT(Base_Original!K105,LEN(Base_Original!K105)-9)),Base_Original!K105))</f>
        <v>7</v>
      </c>
      <c r="S105" s="42" t="str">
        <f>IF($R105="vazio","vazio",IF($R105&lt;=10,"Baixo",IF($R105&lt;=25,"Médio","Alto")))</f>
        <v>Baixo</v>
      </c>
      <c r="T105" s="42" t="str">
        <f>IF(AND($S105="Alto",$Q105="Sim"),"Negada","Aprovada")</f>
        <v>Aprovada</v>
      </c>
      <c r="U105" s="43">
        <v>67000</v>
      </c>
    </row>
    <row r="106" spans="1:21">
      <c r="A106" s="47" t="s">
        <v>960</v>
      </c>
      <c r="B106" s="37" t="str">
        <f>IF(Base_Original!A106="","vazio",IF(Base_Original!A106="ATIVO","Ativo",IF(Base_Original!A106="INATIVO","Inativo",Base_Original!A106)))</f>
        <v>Inativo</v>
      </c>
      <c r="C106" s="37" t="str">
        <f>PROPER(Base_Original!B106)</f>
        <v>Ellaria Mallister</v>
      </c>
      <c r="D106" s="38" t="s">
        <v>281</v>
      </c>
      <c r="E106" s="39" t="str">
        <f>IF($D106="","Vazio",IF(LEN(SUBSTITUTE(SUBSTITUTE($D106&amp;"",".",""),"-",""))&lt;&gt;11,"Inválido","OK"))</f>
        <v>OK</v>
      </c>
      <c r="F106" s="39" t="str">
        <f>IF($D106="","Vazio",IF(COUNTIF($D$2:$D$369,$D106)&gt;1,"Duplicado","Único"))</f>
        <v>Único</v>
      </c>
      <c r="G106" s="40" t="str">
        <f>IF(TRIM(Base_Original!D106)="","",SUBSTITUTE(TRIM(Base_Original!D106),"anos",""))</f>
        <v>38</v>
      </c>
      <c r="H106" s="50">
        <f>IF($J106="","Vazio",DATEDIF($J106,DATE(2026,9,10),"Y"))</f>
        <v>38</v>
      </c>
      <c r="I10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06" s="33">
        <v>32102</v>
      </c>
      <c r="K106" s="42" t="s">
        <v>44</v>
      </c>
      <c r="L106" s="42" t="str">
        <f>PROPER(Base_Original!G106)</f>
        <v>Ilhas De Ferro</v>
      </c>
      <c r="M106" s="43">
        <v>13500</v>
      </c>
      <c r="N106" s="43">
        <f>IF(ISNUMBER(Base_Original!I106),Base_Original!I106,IF(RIGHT(Base_Original!I106,7)=" moedas",VALUE(LEFT(Base_Original!I106,LEN(Base_Original!I106)-7)),Base_Original!I106))</f>
        <v>24000</v>
      </c>
      <c r="O106" s="44" t="str">
        <f>IF(AND($N106&gt;50000,$Q106="Sim"),"Negada","Aprovada")</f>
        <v>Aprovada</v>
      </c>
      <c r="P106" s="45" t="str">
        <f>IF(AND($T106="Negada",$O106="Negada"),0,IF($B106="Ativo",$U106*8%,"0"))</f>
        <v>0</v>
      </c>
      <c r="Q106" s="46" t="str">
        <f>IF(OR(Base_Original!J106="Sim",Base_Original!J106="sim",Base_Original!J106="SIM"),"Sim",IF(OR(Base_Original!J106="Não",Base_Original!J106="não",Base_Original!J106="NÃO",Base_Original!J106="Nao"),"Não",IF(Base_Original!J106="","vazio",Base_Original!J106)))</f>
        <v>Não</v>
      </c>
      <c r="R106" s="46">
        <f>IF(ISNUMBER(Base_Original!K106),Base_Original!K106,IF(RIGHT(Base_Original!K106,9)=" batalhas",VALUE(LEFT(Base_Original!K106,LEN(Base_Original!K106)-9)),Base_Original!K106))</f>
        <v>2</v>
      </c>
      <c r="S106" s="42" t="str">
        <f>IF($R106="vazio","vazio",IF($R106&lt;=10,"Baixo",IF($R106&lt;=25,"Médio","Alto")))</f>
        <v>Baixo</v>
      </c>
      <c r="T106" s="42" t="str">
        <f>IF(AND($S106="Alto",$Q106="Sim"),"Negada","Aprovada")</f>
        <v>Aprovada</v>
      </c>
      <c r="U106" s="43">
        <v>17500</v>
      </c>
    </row>
    <row r="107" spans="1:21">
      <c r="A107" s="47" t="s">
        <v>961</v>
      </c>
      <c r="B107" s="37" t="str">
        <f>IF(Base_Original!A107="","vazio",IF(Base_Original!A107="ATIVO","Ativo",IF(Base_Original!A107="INATIVO","Inativo",Base_Original!A107)))</f>
        <v>Ativo</v>
      </c>
      <c r="C107" s="37" t="str">
        <f>PROPER(Base_Original!B107)</f>
        <v>Ellaria Martell</v>
      </c>
      <c r="D107" s="38" t="s">
        <v>284</v>
      </c>
      <c r="E107" s="39" t="str">
        <f>IF($D107="","Vazio",IF(LEN(SUBSTITUTE(SUBSTITUTE($D107&amp;"",".",""),"-",""))&lt;&gt;11,"Inválido","OK"))</f>
        <v>OK</v>
      </c>
      <c r="F107" s="39" t="str">
        <f>IF($D107="","Vazio",IF(COUNTIF($D$2:$D$369,$D107)&gt;1,"Duplicado","Único"))</f>
        <v>Único</v>
      </c>
      <c r="G107" s="40" t="str">
        <f>IF(TRIM(Base_Original!D107)="","",SUBSTITUTE(TRIM(Base_Original!D107),"anos",""))</f>
        <v>48</v>
      </c>
      <c r="H107" s="50">
        <f>IF($J107="","Vazio",DATEDIF($J107,DATE(2026,9,10),"Y"))</f>
        <v>48</v>
      </c>
      <c r="I10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07" s="33">
        <v>28673</v>
      </c>
      <c r="K107" s="42" t="s">
        <v>150</v>
      </c>
      <c r="L107" s="42" t="str">
        <f>PROPER(Base_Original!G107)</f>
        <v>Gargalo</v>
      </c>
      <c r="M107" s="43">
        <v>2300</v>
      </c>
      <c r="N107" s="43">
        <f>IF(ISNUMBER(Base_Original!I107),Base_Original!I107,IF(RIGHT(Base_Original!I107,7)=" moedas",VALUE(LEFT(Base_Original!I107,LEN(Base_Original!I107)-7)),Base_Original!I107))</f>
        <v>26500</v>
      </c>
      <c r="O107" s="44" t="str">
        <f>IF(AND($N107&gt;50000,$Q107="Sim"),"Negada","Aprovada")</f>
        <v>Aprovada</v>
      </c>
      <c r="P107" s="45">
        <f>IF(AND($T107="Negada",$O107="Negada"),0,IF($B107="Ativo",$U107*8%,"0"))</f>
        <v>6480</v>
      </c>
      <c r="Q107" s="46" t="str">
        <f>IF(OR(Base_Original!J107="Sim",Base_Original!J107="sim",Base_Original!J107="SIM"),"Sim",IF(OR(Base_Original!J107="Não",Base_Original!J107="não",Base_Original!J107="NÃO",Base_Original!J107="Nao"),"Não",IF(Base_Original!J107="","vazio",Base_Original!J107)))</f>
        <v>Não</v>
      </c>
      <c r="R107" s="46">
        <f>IF(ISNUMBER(Base_Original!K107),Base_Original!K107,IF(RIGHT(Base_Original!K107,9)=" batalhas",VALUE(LEFT(Base_Original!K107,LEN(Base_Original!K107)-9)),Base_Original!K107))</f>
        <v>44</v>
      </c>
      <c r="S107" s="42" t="str">
        <f>IF($R107="vazio","vazio",IF($R107&lt;=10,"Baixo",IF($R107&lt;=25,"Médio","Alto")))</f>
        <v>Alto</v>
      </c>
      <c r="T107" s="42" t="str">
        <f>IF(AND($S107="Alto",$Q107="Sim"),"Negada","Aprovada")</f>
        <v>Aprovada</v>
      </c>
      <c r="U107" s="43">
        <v>81000</v>
      </c>
    </row>
    <row r="108" spans="1:21">
      <c r="A108" s="47" t="s">
        <v>962</v>
      </c>
      <c r="B108" s="37" t="str">
        <f>IF(Base_Original!A108="","vazio",IF(Base_Original!A108="ATIVO","Ativo",IF(Base_Original!A108="INATIVO","Inativo",Base_Original!A108)))</f>
        <v>Ativo</v>
      </c>
      <c r="C108" s="37" t="str">
        <f>PROPER(Base_Original!B108)</f>
        <v>Ellaria Mormont</v>
      </c>
      <c r="D108" s="38" t="s">
        <v>287</v>
      </c>
      <c r="E108" s="39" t="str">
        <f>IF($D108="","Vazio",IF(LEN(SUBSTITUTE(SUBSTITUTE($D108&amp;"",".",""),"-",""))&lt;&gt;11,"Inválido","OK"))</f>
        <v>OK</v>
      </c>
      <c r="F108" s="39" t="str">
        <f>IF($D108="","Vazio",IF(COUNTIF($D$2:$D$369,$D108)&gt;1,"Duplicado","Único"))</f>
        <v>Único</v>
      </c>
      <c r="G108" s="40" t="str">
        <f>IF(TRIM(Base_Original!D108)="","",SUBSTITUTE(TRIM(Base_Original!D108),"anos",""))</f>
        <v>22</v>
      </c>
      <c r="H108" s="50">
        <f>IF($J108="","Vazio",DATEDIF($J108,DATE(2026,9,10),"Y"))</f>
        <v>22</v>
      </c>
      <c r="I10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08" s="33">
        <v>37904</v>
      </c>
      <c r="K108" s="42" t="s">
        <v>180</v>
      </c>
      <c r="L108" s="42" t="str">
        <f>PROPER(Base_Original!G108)</f>
        <v>Terras Da Tempestade</v>
      </c>
      <c r="M108" s="43">
        <v>2300</v>
      </c>
      <c r="N108" s="43">
        <f>IF(ISNUMBER(Base_Original!I108),Base_Original!I108,IF(RIGHT(Base_Original!I108,7)=" moedas",VALUE(LEFT(Base_Original!I108,LEN(Base_Original!I108)-7)),Base_Original!I108))</f>
        <v>0</v>
      </c>
      <c r="O108" s="44" t="str">
        <f>IF(AND($N108&gt;50000,$Q108="Sim"),"Negada","Aprovada")</f>
        <v>Aprovada</v>
      </c>
      <c r="P108" s="45">
        <f>IF(AND($T108="Negada",$O108="Negada"),0,IF($B108="Ativo",$U108*8%,"0"))</f>
        <v>4120</v>
      </c>
      <c r="Q108" s="46" t="str">
        <f>IF(OR(Base_Original!J108="Sim",Base_Original!J108="sim",Base_Original!J108="SIM"),"Sim",IF(OR(Base_Original!J108="Não",Base_Original!J108="não",Base_Original!J108="NÃO",Base_Original!J108="Nao"),"Não",IF(Base_Original!J108="","vazio",Base_Original!J108)))</f>
        <v>Sim</v>
      </c>
      <c r="R108" s="46">
        <f>IF(ISNUMBER(Base_Original!K108),Base_Original!K108,IF(RIGHT(Base_Original!K108,9)=" batalhas",VALUE(LEFT(Base_Original!K108,LEN(Base_Original!K108)-9)),Base_Original!K108))</f>
        <v>29</v>
      </c>
      <c r="S108" s="42" t="str">
        <f>IF($R108="vazio","vazio",IF($R108&lt;=10,"Baixo",IF($R108&lt;=25,"Médio","Alto")))</f>
        <v>Alto</v>
      </c>
      <c r="T108" s="42" t="str">
        <f>IF(AND($S108="Alto",$Q108="Sim"),"Negada","Aprovada")</f>
        <v>Negada</v>
      </c>
      <c r="U108" s="43">
        <v>51500</v>
      </c>
    </row>
    <row r="109" spans="1:21">
      <c r="A109" s="47" t="s">
        <v>963</v>
      </c>
      <c r="B109" s="37" t="str">
        <f>IF(Base_Original!A109="","vazio",IF(Base_Original!A109="ATIVO","Ativo",IF(Base_Original!A109="INATIVO","Inativo",Base_Original!A109)))</f>
        <v>Ativo</v>
      </c>
      <c r="C109" s="37" t="str">
        <f>PROPER(Base_Original!B109)</f>
        <v>Ellaria Redwyne</v>
      </c>
      <c r="D109" s="38" t="s">
        <v>290</v>
      </c>
      <c r="E109" s="39" t="str">
        <f>IF($D109="","Vazio",IF(LEN(SUBSTITUTE(SUBSTITUTE($D109&amp;"",".",""),"-",""))&lt;&gt;11,"Inválido","OK"))</f>
        <v>OK</v>
      </c>
      <c r="F109" s="39" t="str">
        <f>IF($D109="","Vazio",IF(COUNTIF($D$2:$D$369,$D109)&gt;1,"Duplicado","Único"))</f>
        <v>Único</v>
      </c>
      <c r="G109" s="40" t="str">
        <f>IF(TRIM(Base_Original!D109)="","",SUBSTITUTE(TRIM(Base_Original!D109),"anos",""))</f>
        <v>56</v>
      </c>
      <c r="H109" s="50">
        <f>IF($J109="","Vazio",DATEDIF($J109,DATE(2026,9,10),"Y"))</f>
        <v>56</v>
      </c>
      <c r="I10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09" s="33">
        <v>25551</v>
      </c>
      <c r="K109" s="42" t="s">
        <v>34</v>
      </c>
      <c r="L109" s="42" t="str">
        <f>PROPER(Base_Original!G109)</f>
        <v>Dorne</v>
      </c>
      <c r="M109" s="43">
        <v>22600</v>
      </c>
      <c r="N109" s="43">
        <f>IF(ISNUMBER(Base_Original!I109),Base_Original!I109,IF(RIGHT(Base_Original!I109,7)=" moedas",VALUE(LEFT(Base_Original!I109,LEN(Base_Original!I109)-7)),Base_Original!I109))</f>
        <v>63000</v>
      </c>
      <c r="O109" s="44" t="str">
        <f>IF(AND($N109&gt;50000,$Q109="Sim"),"Negada","Aprovada")</f>
        <v>Aprovada</v>
      </c>
      <c r="P109" s="45">
        <f>IF(AND($T109="Negada",$O109="Negada"),0,IF($B109="Ativo",$U109*8%,"0"))</f>
        <v>4240</v>
      </c>
      <c r="Q109" s="46" t="str">
        <f>IF(OR(Base_Original!J109="Sim",Base_Original!J109="sim",Base_Original!J109="SIM"),"Sim",IF(OR(Base_Original!J109="Não",Base_Original!J109="não",Base_Original!J109="NÃO",Base_Original!J109="Nao"),"Não",IF(Base_Original!J109="","vazio",Base_Original!J109)))</f>
        <v>Não</v>
      </c>
      <c r="R109" s="46">
        <f>IF(ISNUMBER(Base_Original!K109),Base_Original!K109,IF(RIGHT(Base_Original!K109,9)=" batalhas",VALUE(LEFT(Base_Original!K109,LEN(Base_Original!K109)-9)),Base_Original!K109))</f>
        <v>33</v>
      </c>
      <c r="S109" s="42" t="str">
        <f>IF($R109="vazio","vazio",IF($R109&lt;=10,"Baixo",IF($R109&lt;=25,"Médio","Alto")))</f>
        <v>Alto</v>
      </c>
      <c r="T109" s="42" t="str">
        <f>IF(AND($S109="Alto",$Q109="Sim"),"Negada","Aprovada")</f>
        <v>Aprovada</v>
      </c>
      <c r="U109" s="43">
        <v>53000</v>
      </c>
    </row>
    <row r="110" spans="1:21">
      <c r="A110" s="47" t="s">
        <v>964</v>
      </c>
      <c r="B110" s="37" t="str">
        <f>IF(Base_Original!A110="","vazio",IF(Base_Original!A110="ATIVO","Ativo",IF(Base_Original!A110="INATIVO","Inativo",Base_Original!A110)))</f>
        <v>Ativo</v>
      </c>
      <c r="C110" s="37" t="str">
        <f>PROPER(Base_Original!B110)</f>
        <v>Ellaria Seaworth</v>
      </c>
      <c r="D110" s="38" t="s">
        <v>292</v>
      </c>
      <c r="E110" s="39" t="str">
        <f>IF($D110="","Vazio",IF(LEN(SUBSTITUTE(SUBSTITUTE($D110&amp;"",".",""),"-",""))&lt;&gt;11,"Inválido","OK"))</f>
        <v>OK</v>
      </c>
      <c r="F110" s="39" t="str">
        <f>IF($D110="","Vazio",IF(COUNTIF($D$2:$D$369,$D110)&gt;1,"Duplicado","Único"))</f>
        <v>Único</v>
      </c>
      <c r="G110" s="40" t="str">
        <f>IF(TRIM(Base_Original!D110)="","",SUBSTITUTE(TRIM(Base_Original!D110),"anos",""))</f>
        <v>23</v>
      </c>
      <c r="H110" s="50">
        <f>IF($J110="","Vazio",DATEDIF($J110,DATE(2026,9,10),"Y"))</f>
        <v>23</v>
      </c>
      <c r="I11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10" s="33">
        <v>37627</v>
      </c>
      <c r="K110" s="42" t="s">
        <v>25</v>
      </c>
      <c r="L110" s="42" t="str">
        <f>PROPER(Base_Original!G110)</f>
        <v>Terras Fluviais</v>
      </c>
      <c r="M110" s="43" t="s">
        <v>880</v>
      </c>
      <c r="N110" s="43">
        <f>IF(ISNUMBER(Base_Original!I110),Base_Original!I110,IF(RIGHT(Base_Original!I110,7)=" moedas",VALUE(LEFT(Base_Original!I110,LEN(Base_Original!I110)-7)),Base_Original!I110))</f>
        <v>69000</v>
      </c>
      <c r="O110" s="44" t="str">
        <f>IF(AND($N110&gt;50000,$Q110="Sim"),"Negada","Aprovada")</f>
        <v>Aprovada</v>
      </c>
      <c r="P110" s="45">
        <f>IF(AND($T110="Negada",$O110="Negada"),0,IF($B110="Ativo",$U110*8%,"0"))</f>
        <v>5520</v>
      </c>
      <c r="Q110" s="46" t="str">
        <f>IF(OR(Base_Original!J110="Sim",Base_Original!J110="sim",Base_Original!J110="SIM"),"Sim",IF(OR(Base_Original!J110="Não",Base_Original!J110="não",Base_Original!J110="NÃO",Base_Original!J110="Nao"),"Não",IF(Base_Original!J110="","vazio",Base_Original!J110)))</f>
        <v>Não</v>
      </c>
      <c r="R110" s="46">
        <f>IF(ISNUMBER(Base_Original!K110),Base_Original!K110,IF(RIGHT(Base_Original!K110,9)=" batalhas",VALUE(LEFT(Base_Original!K110,LEN(Base_Original!K110)-9)),Base_Original!K110))</f>
        <v>20</v>
      </c>
      <c r="S110" s="42" t="str">
        <f>IF($R110="vazio","vazio",IF($R110&lt;=10,"Baixo",IF($R110&lt;=25,"Médio","Alto")))</f>
        <v>Médio</v>
      </c>
      <c r="T110" s="42" t="str">
        <f>IF(AND($S110="Alto",$Q110="Sim"),"Negada","Aprovada")</f>
        <v>Aprovada</v>
      </c>
      <c r="U110" s="43">
        <v>69000</v>
      </c>
    </row>
    <row r="111" spans="1:21">
      <c r="A111" s="47" t="s">
        <v>965</v>
      </c>
      <c r="B111" s="37" t="str">
        <f>IF(Base_Original!A111="","vazio",IF(Base_Original!A111="ATIVO","Ativo",IF(Base_Original!A111="INATIVO","Inativo",Base_Original!A111)))</f>
        <v>Ativo</v>
      </c>
      <c r="C111" s="37" t="str">
        <f>PROPER(Base_Original!B111)</f>
        <v>Ellaria Swyft</v>
      </c>
      <c r="D111" s="38" t="s">
        <v>294</v>
      </c>
      <c r="E111" s="39" t="str">
        <f>IF($D111="","Vazio",IF(LEN(SUBSTITUTE(SUBSTITUTE($D111&amp;"",".",""),"-",""))&lt;&gt;11,"Inválido","OK"))</f>
        <v>OK</v>
      </c>
      <c r="F111" s="39" t="str">
        <f>IF($D111="","Vazio",IF(COUNTIF($D$2:$D$369,$D111)&gt;1,"Duplicado","Único"))</f>
        <v>Único</v>
      </c>
      <c r="G111" s="40" t="str">
        <f>IF(TRIM(Base_Original!D111)="","",SUBSTITUTE(TRIM(Base_Original!D111),"anos",""))</f>
        <v>72</v>
      </c>
      <c r="H111" s="50">
        <f>IF($J111="","Vazio",DATEDIF($J111,DATE(2026,9,10),"Y"))</f>
        <v>72</v>
      </c>
      <c r="I11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11" s="33">
        <v>19839</v>
      </c>
      <c r="K111" s="42" t="s">
        <v>51</v>
      </c>
      <c r="L111" s="42" t="str">
        <f>PROPER(Base_Original!G111)</f>
        <v>Vale</v>
      </c>
      <c r="M111" s="43">
        <v>3900</v>
      </c>
      <c r="N111" s="43">
        <f>IF(ISNUMBER(Base_Original!I111),Base_Original!I111,IF(RIGHT(Base_Original!I111,7)=" moedas",VALUE(LEFT(Base_Original!I111,LEN(Base_Original!I111)-7)),Base_Original!I111))</f>
        <v>27000</v>
      </c>
      <c r="O111" s="44" t="str">
        <f>IF(AND($N111&gt;50000,$Q111="Sim"),"Negada","Aprovada")</f>
        <v>Aprovada</v>
      </c>
      <c r="P111" s="45">
        <f>IF(AND($T111="Negada",$O111="Negada"),0,IF($B111="Ativo",$U111*8%,"0"))</f>
        <v>160</v>
      </c>
      <c r="Q111" s="46" t="str">
        <f>IF(OR(Base_Original!J111="Sim",Base_Original!J111="sim",Base_Original!J111="SIM"),"Sim",IF(OR(Base_Original!J111="Não",Base_Original!J111="não",Base_Original!J111="NÃO",Base_Original!J111="Nao"),"Não",IF(Base_Original!J111="","vazio",Base_Original!J111)))</f>
        <v>Não</v>
      </c>
      <c r="R111" s="46">
        <f>IF(ISNUMBER(Base_Original!K111),Base_Original!K111,IF(RIGHT(Base_Original!K111,9)=" batalhas",VALUE(LEFT(Base_Original!K111,LEN(Base_Original!K111)-9)),Base_Original!K111))</f>
        <v>33</v>
      </c>
      <c r="S111" s="42" t="str">
        <f>IF($R111="vazio","vazio",IF($R111&lt;=10,"Baixo",IF($R111&lt;=25,"Médio","Alto")))</f>
        <v>Alto</v>
      </c>
      <c r="T111" s="42" t="str">
        <f>IF(AND($S111="Alto",$Q111="Sim"),"Negada","Aprovada")</f>
        <v>Aprovada</v>
      </c>
      <c r="U111" s="43">
        <v>2000</v>
      </c>
    </row>
    <row r="112" spans="1:21">
      <c r="A112" s="47" t="s">
        <v>966</v>
      </c>
      <c r="B112" s="37" t="str">
        <f>IF(Base_Original!A112="","vazio",IF(Base_Original!A112="ATIVO","Ativo",IF(Base_Original!A112="INATIVO","Inativo",Base_Original!A112)))</f>
        <v>Ativo</v>
      </c>
      <c r="C112" s="37" t="str">
        <f>PROPER(Base_Original!B112)</f>
        <v>Ellaria Targaryen</v>
      </c>
      <c r="D112" s="38" t="s">
        <v>296</v>
      </c>
      <c r="E112" s="39" t="str">
        <f>IF($D112="","Vazio",IF(LEN(SUBSTITUTE(SUBSTITUTE($D112&amp;"",".",""),"-",""))&lt;&gt;11,"Inválido","OK"))</f>
        <v>OK</v>
      </c>
      <c r="F112" s="39" t="str">
        <f>IF($D112="","Vazio",IF(COUNTIF($D$2:$D$369,$D112)&gt;1,"Duplicado","Único"))</f>
        <v>Único</v>
      </c>
      <c r="G112" s="40" t="str">
        <f>IF(TRIM(Base_Original!D112)="","",SUBSTITUTE(TRIM(Base_Original!D112),"anos",""))</f>
        <v>54</v>
      </c>
      <c r="H112" s="50">
        <f>IF($J112="","Vazio",DATEDIF($J112,DATE(2026,9,10),"Y"))</f>
        <v>54</v>
      </c>
      <c r="I11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12" s="33">
        <v>26230</v>
      </c>
      <c r="K112" s="42" t="s">
        <v>99</v>
      </c>
      <c r="L112" s="42" t="str">
        <f>PROPER(Base_Original!G112)</f>
        <v>Norte</v>
      </c>
      <c r="M112" s="43">
        <v>18700</v>
      </c>
      <c r="N112" s="43">
        <f>IF(ISNUMBER(Base_Original!I112),Base_Original!I112,IF(RIGHT(Base_Original!I112,7)=" moedas",VALUE(LEFT(Base_Original!I112,LEN(Base_Original!I112)-7)),Base_Original!I112))</f>
        <v>46000</v>
      </c>
      <c r="O112" s="44" t="str">
        <f>IF(AND($N112&gt;50000,$Q112="Sim"),"Negada","Aprovada")</f>
        <v>Aprovada</v>
      </c>
      <c r="P112" s="45">
        <f>IF(AND($T112="Negada",$O112="Negada"),0,IF($B112="Ativo",$U112*8%,"0"))</f>
        <v>2200</v>
      </c>
      <c r="Q112" s="46" t="str">
        <f>IF(OR(Base_Original!J112="Sim",Base_Original!J112="sim",Base_Original!J112="SIM"),"Sim",IF(OR(Base_Original!J112="Não",Base_Original!J112="não",Base_Original!J112="NÃO",Base_Original!J112="Nao"),"Não",IF(Base_Original!J112="","vazio",Base_Original!J112)))</f>
        <v>Sim</v>
      </c>
      <c r="R112" s="46">
        <f>IF(ISNUMBER(Base_Original!K112),Base_Original!K112,IF(RIGHT(Base_Original!K112,9)=" batalhas",VALUE(LEFT(Base_Original!K112,LEN(Base_Original!K112)-9)),Base_Original!K112))</f>
        <v>4</v>
      </c>
      <c r="S112" s="42" t="str">
        <f>IF($R112="vazio","vazio",IF($R112&lt;=10,"Baixo",IF($R112&lt;=25,"Médio","Alto")))</f>
        <v>Baixo</v>
      </c>
      <c r="T112" s="42" t="str">
        <f>IF(AND($S112="Alto",$Q112="Sim"),"Negada","Aprovada")</f>
        <v>Aprovada</v>
      </c>
      <c r="U112" s="43">
        <v>27500</v>
      </c>
    </row>
    <row r="113" spans="1:21">
      <c r="A113" s="47" t="s">
        <v>967</v>
      </c>
      <c r="B113" s="37" t="str">
        <f>IF(Base_Original!A113="","vazio",IF(Base_Original!A113="ATIVO","Ativo",IF(Base_Original!A113="INATIVO","Inativo",Base_Original!A113)))</f>
        <v>Inativo</v>
      </c>
      <c r="C113" s="37" t="str">
        <f>PROPER(Base_Original!B113)</f>
        <v>Ellaria Tarly</v>
      </c>
      <c r="D113" s="38" t="s">
        <v>298</v>
      </c>
      <c r="E113" s="39" t="str">
        <f>IF($D113="","Vazio",IF(LEN(SUBSTITUTE(SUBSTITUTE($D113&amp;"",".",""),"-",""))&lt;&gt;11,"Inválido","OK"))</f>
        <v>OK</v>
      </c>
      <c r="F113" s="39" t="str">
        <f>IF($D113="","Vazio",IF(COUNTIF($D$2:$D$369,$D113)&gt;1,"Duplicado","Único"))</f>
        <v>Único</v>
      </c>
      <c r="G113" s="40" t="str">
        <f>IF(TRIM(Base_Original!D113)="","",SUBSTITUTE(TRIM(Base_Original!D113),"anos",""))</f>
        <v>67</v>
      </c>
      <c r="H113" s="50">
        <f>IF($J113="","Vazio",DATEDIF($J113,DATE(2026,9,10),"Y"))</f>
        <v>67</v>
      </c>
      <c r="I11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13" s="33">
        <v>21512</v>
      </c>
      <c r="K113" s="42" t="s">
        <v>62</v>
      </c>
      <c r="L113" s="42" t="str">
        <f>PROPER(Base_Original!G113)</f>
        <v>Essos</v>
      </c>
      <c r="M113" s="43">
        <v>3200</v>
      </c>
      <c r="N113" s="43">
        <f>IF(ISNUMBER(Base_Original!I113),Base_Original!I113,IF(RIGHT(Base_Original!I113,7)=" moedas",VALUE(LEFT(Base_Original!I113,LEN(Base_Original!I113)-7)),Base_Original!I113))</f>
        <v>6500</v>
      </c>
      <c r="O113" s="44" t="str">
        <f>IF(AND($N113&gt;50000,$Q113="Sim"),"Negada","Aprovada")</f>
        <v>Aprovada</v>
      </c>
      <c r="P113" s="45" t="str">
        <f>IF(AND($T113="Negada",$O113="Negada"),0,IF($B113="Ativo",$U113*8%,"0"))</f>
        <v>0</v>
      </c>
      <c r="Q113" s="46" t="str">
        <f>IF(OR(Base_Original!J113="Sim",Base_Original!J113="sim",Base_Original!J113="SIM"),"Sim",IF(OR(Base_Original!J113="Não",Base_Original!J113="não",Base_Original!J113="NÃO",Base_Original!J113="Nao"),"Não",IF(Base_Original!J113="","vazio",Base_Original!J113)))</f>
        <v>Não</v>
      </c>
      <c r="R113" s="46">
        <f>IF(ISNUMBER(Base_Original!K113),Base_Original!K113,IF(RIGHT(Base_Original!K113,9)=" batalhas",VALUE(LEFT(Base_Original!K113,LEN(Base_Original!K113)-9)),Base_Original!K113))</f>
        <v>20</v>
      </c>
      <c r="S113" s="42" t="str">
        <f>IF($R113="vazio","vazio",IF($R113&lt;=10,"Baixo",IF($R113&lt;=25,"Médio","Alto")))</f>
        <v>Médio</v>
      </c>
      <c r="T113" s="42" t="str">
        <f>IF(AND($S113="Alto",$Q113="Sim"),"Negada","Aprovada")</f>
        <v>Aprovada</v>
      </c>
      <c r="U113" s="43">
        <v>52500</v>
      </c>
    </row>
    <row r="114" spans="1:21">
      <c r="A114" s="47" t="s">
        <v>968</v>
      </c>
      <c r="B114" s="37" t="str">
        <f>IF(Base_Original!A114="","vazio",IF(Base_Original!A114="ATIVO","Ativo",IF(Base_Original!A114="INATIVO","Inativo",Base_Original!A114)))</f>
        <v>Ativo</v>
      </c>
      <c r="C114" s="37" t="str">
        <f>PROPER(Base_Original!B114)</f>
        <v>Gendry Cerwyn</v>
      </c>
      <c r="D114" s="38" t="s">
        <v>300</v>
      </c>
      <c r="E114" s="39" t="str">
        <f>IF($D114="","Vazio",IF(LEN(SUBSTITUTE(SUBSTITUTE($D114&amp;"",".",""),"-",""))&lt;&gt;11,"Inválido","OK"))</f>
        <v>OK</v>
      </c>
      <c r="F114" s="39" t="str">
        <f>IF($D114="","Vazio",IF(COUNTIF($D$2:$D$369,$D114)&gt;1,"Duplicado","Único"))</f>
        <v>Único</v>
      </c>
      <c r="G114" s="40" t="str">
        <f>IF(TRIM(Base_Original!D114)="","",SUBSTITUTE(TRIM(Base_Original!D114),"anos",""))</f>
        <v>24</v>
      </c>
      <c r="H114" s="50">
        <f>IF($J114="","Vazio",DATEDIF($J114,DATE(2026,9,10),"Y"))</f>
        <v>24</v>
      </c>
      <c r="I11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14" s="33">
        <v>37394</v>
      </c>
      <c r="K114" s="42" t="s">
        <v>301</v>
      </c>
      <c r="L114" s="42" t="str">
        <f>PROPER(Base_Original!G114)</f>
        <v/>
      </c>
      <c r="M114" s="43">
        <v>14200</v>
      </c>
      <c r="N114" s="43">
        <f>IF(ISNUMBER(Base_Original!I114),Base_Original!I114,IF(RIGHT(Base_Original!I114,7)=" moedas",VALUE(LEFT(Base_Original!I114,LEN(Base_Original!I114)-7)),Base_Original!I114))</f>
        <v>71000</v>
      </c>
      <c r="O114" s="44" t="str">
        <f>IF(AND($N114&gt;50000,$Q114="Sim"),"Negada","Aprovada")</f>
        <v>Aprovada</v>
      </c>
      <c r="P114" s="45">
        <f>IF(AND($T114="Negada",$O114="Negada"),0,IF($B114="Ativo",$U114*8%,"0"))</f>
        <v>7320</v>
      </c>
      <c r="Q114" s="46" t="str">
        <f>IF(OR(Base_Original!J114="Sim",Base_Original!J114="sim",Base_Original!J114="SIM"),"Sim",IF(OR(Base_Original!J114="Não",Base_Original!J114="não",Base_Original!J114="NÃO",Base_Original!J114="Nao"),"Não",IF(Base_Original!J114="","vazio",Base_Original!J114)))</f>
        <v>Não</v>
      </c>
      <c r="R114" s="46">
        <f>IF(ISNUMBER(Base_Original!K114),Base_Original!K114,IF(RIGHT(Base_Original!K114,9)=" batalhas",VALUE(LEFT(Base_Original!K114,LEN(Base_Original!K114)-9)),Base_Original!K114))</f>
        <v>10</v>
      </c>
      <c r="S114" s="42" t="str">
        <f>IF($R114="vazio","vazio",IF($R114&lt;=10,"Baixo",IF($R114&lt;=25,"Médio","Alto")))</f>
        <v>Baixo</v>
      </c>
      <c r="T114" s="42" t="str">
        <f>IF(AND($S114="Alto",$Q114="Sim"),"Negada","Aprovada")</f>
        <v>Aprovada</v>
      </c>
      <c r="U114" s="43">
        <v>91500</v>
      </c>
    </row>
    <row r="115" spans="1:21">
      <c r="A115" s="47" t="s">
        <v>969</v>
      </c>
      <c r="B115" s="37" t="str">
        <f>IF(Base_Original!A115="","vazio",IF(Base_Original!A115="ATIVO","Ativo",IF(Base_Original!A115="INATIVO","Inativo",Base_Original!A115)))</f>
        <v>Ativo</v>
      </c>
      <c r="C115" s="37" t="str">
        <f>PROPER(Base_Original!B115)</f>
        <v>Gendry Hightower</v>
      </c>
      <c r="D115" s="38" t="s">
        <v>303</v>
      </c>
      <c r="E115" s="39" t="str">
        <f>IF($D115="","Vazio",IF(LEN(SUBSTITUTE(SUBSTITUTE($D115&amp;"",".",""),"-",""))&lt;&gt;11,"Inválido","OK"))</f>
        <v>OK</v>
      </c>
      <c r="F115" s="39" t="str">
        <f>IF($D115="","Vazio",IF(COUNTIF($D$2:$D$369,$D115)&gt;1,"Duplicado","Único"))</f>
        <v>Único</v>
      </c>
      <c r="G115" s="40" t="str">
        <f>IF(TRIM(Base_Original!D115)="","",SUBSTITUTE(TRIM(Base_Original!D115),"anos",""))</f>
        <v>26</v>
      </c>
      <c r="H115" s="50">
        <f>IF($J115="","Vazio",DATEDIF($J115,DATE(2026,9,10),"Y"))</f>
        <v>26</v>
      </c>
      <c r="I11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15" s="33">
        <v>36475</v>
      </c>
      <c r="K115" s="42" t="s">
        <v>304</v>
      </c>
      <c r="L115" s="42" t="str">
        <f>PROPER(Base_Original!G115)</f>
        <v/>
      </c>
      <c r="M115" s="43">
        <v>13900</v>
      </c>
      <c r="N115" s="43">
        <f>IF(ISNUMBER(Base_Original!I115),Base_Original!I115,IF(RIGHT(Base_Original!I115,7)=" moedas",VALUE(LEFT(Base_Original!I115,LEN(Base_Original!I115)-7)),Base_Original!I115))</f>
        <v>53500</v>
      </c>
      <c r="O115" s="44" t="str">
        <f>IF(AND($N115&gt;50000,$Q115="Sim"),"Negada","Aprovada")</f>
        <v>Aprovada</v>
      </c>
      <c r="P115" s="45">
        <f>IF(AND($T115="Negada",$O115="Negada"),0,IF($B115="Ativo",$U115*8%,"0"))</f>
        <v>6800</v>
      </c>
      <c r="Q115" s="46" t="str">
        <f>IF(OR(Base_Original!J115="Sim",Base_Original!J115="sim",Base_Original!J115="SIM"),"Sim",IF(OR(Base_Original!J115="Não",Base_Original!J115="não",Base_Original!J115="NÃO",Base_Original!J115="Nao"),"Não",IF(Base_Original!J115="","vazio",Base_Original!J115)))</f>
        <v>Não</v>
      </c>
      <c r="R115" s="46">
        <f>IF(ISNUMBER(Base_Original!K115),Base_Original!K115,IF(RIGHT(Base_Original!K115,9)=" batalhas",VALUE(LEFT(Base_Original!K115,LEN(Base_Original!K115)-9)),Base_Original!K115))</f>
        <v>12</v>
      </c>
      <c r="S115" s="42" t="str">
        <f>IF($R115="vazio","vazio",IF($R115&lt;=10,"Baixo",IF($R115&lt;=25,"Médio","Alto")))</f>
        <v>Médio</v>
      </c>
      <c r="T115" s="42" t="str">
        <f>IF(AND($S115="Alto",$Q115="Sim"),"Negada","Aprovada")</f>
        <v>Aprovada</v>
      </c>
      <c r="U115" s="43">
        <v>85000</v>
      </c>
    </row>
    <row r="116" spans="1:21">
      <c r="A116" s="47" t="s">
        <v>970</v>
      </c>
      <c r="B116" s="37" t="str">
        <f>IF(Base_Original!A116="","vazio",IF(Base_Original!A116="ATIVO","Ativo",IF(Base_Original!A116="INATIVO","Inativo",Base_Original!A116)))</f>
        <v>Inativo</v>
      </c>
      <c r="C116" s="37" t="str">
        <f>PROPER(Base_Original!B116)</f>
        <v>Gilly Frey</v>
      </c>
      <c r="D116" s="38" t="s">
        <v>306</v>
      </c>
      <c r="E116" s="39" t="str">
        <f>IF($D116="","Vazio",IF(LEN(SUBSTITUTE(SUBSTITUTE($D116&amp;"",".",""),"-",""))&lt;&gt;11,"Inválido","OK"))</f>
        <v>OK</v>
      </c>
      <c r="F116" s="39" t="str">
        <f>IF($D116="","Vazio",IF(COUNTIF($D$2:$D$369,$D116)&gt;1,"Duplicado","Único"))</f>
        <v>Único</v>
      </c>
      <c r="G116" s="40" t="str">
        <f>IF(TRIM(Base_Original!D116)="","",SUBSTITUTE(TRIM(Base_Original!D116),"anos",""))</f>
        <v>33</v>
      </c>
      <c r="H116" s="50">
        <f>IF($J116="","Vazio",DATEDIF($J116,DATE(2026,9,10),"Y"))</f>
        <v>33</v>
      </c>
      <c r="I11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16" s="33">
        <v>34154</v>
      </c>
      <c r="K116" s="42" t="s">
        <v>40</v>
      </c>
      <c r="L116" s="42" t="str">
        <f>PROPER(Base_Original!G116)</f>
        <v>Norte</v>
      </c>
      <c r="M116" s="43">
        <v>2400</v>
      </c>
      <c r="N116" s="43">
        <f>IF(ISNUMBER(Base_Original!I116),Base_Original!I116,IF(RIGHT(Base_Original!I116,7)=" moedas",VALUE(LEFT(Base_Original!I116,LEN(Base_Original!I116)-7)),Base_Original!I116))</f>
        <v>78000</v>
      </c>
      <c r="O116" s="44" t="str">
        <f>IF(AND($N116&gt;50000,$Q116="Sim"),"Negada","Aprovada")</f>
        <v>Aprovada</v>
      </c>
      <c r="P116" s="45" t="str">
        <f>IF(AND($T116="Negada",$O116="Negada"),0,IF($B116="Ativo",$U116*8%,"0"))</f>
        <v>0</v>
      </c>
      <c r="Q116" s="46" t="str">
        <f>IF(OR(Base_Original!J116="Sim",Base_Original!J116="sim",Base_Original!J116="SIM"),"Sim",IF(OR(Base_Original!J116="Não",Base_Original!J116="não",Base_Original!J116="NÃO",Base_Original!J116="Nao"),"Não",IF(Base_Original!J116="","vazio",Base_Original!J116)))</f>
        <v>Não</v>
      </c>
      <c r="R116" s="46">
        <f>IF(ISNUMBER(Base_Original!K116),Base_Original!K116,IF(RIGHT(Base_Original!K116,9)=" batalhas",VALUE(LEFT(Base_Original!K116,LEN(Base_Original!K116)-9)),Base_Original!K116))</f>
        <v>6</v>
      </c>
      <c r="S116" s="42" t="str">
        <f>IF($R116="vazio","vazio",IF($R116&lt;=10,"Baixo",IF($R116&lt;=25,"Médio","Alto")))</f>
        <v>Baixo</v>
      </c>
      <c r="T116" s="42" t="str">
        <f>IF(AND($S116="Alto",$Q116="Sim"),"Negada","Aprovada")</f>
        <v>Aprovada</v>
      </c>
      <c r="U116" s="43">
        <v>28000</v>
      </c>
    </row>
    <row r="117" spans="1:21">
      <c r="A117" s="47" t="s">
        <v>971</v>
      </c>
      <c r="B117" s="37" t="str">
        <f>IF(Base_Original!A117="","vazio",IF(Base_Original!A117="ATIVO","Ativo",IF(Base_Original!A117="INATIVO","Inativo",Base_Original!A117)))</f>
        <v>Ativo</v>
      </c>
      <c r="C117" s="37" t="str">
        <f>PROPER(Base_Original!B117)</f>
        <v>Gilly Glover</v>
      </c>
      <c r="D117" s="38">
        <v>2200</v>
      </c>
      <c r="E117" s="39" t="str">
        <f>IF($D117="","Vazio",IF(LEN(SUBSTITUTE(SUBSTITUTE($D117&amp;"",".",""),"-",""))&lt;&gt;11,"Inválido","OK"))</f>
        <v>Inválido</v>
      </c>
      <c r="F117" s="39" t="str">
        <f>IF($D117="","Vazio",IF(COUNTIF($D$2:$D$369,$D117)&gt;1,"Duplicado","Único"))</f>
        <v>Único</v>
      </c>
      <c r="G117" s="40" t="str">
        <f>IF(TRIM(Base_Original!D117)="","",SUBSTITUTE(TRIM(Base_Original!D117),"anos",""))</f>
        <v>58</v>
      </c>
      <c r="H117" s="50">
        <f>IF($J117="","Vazio",DATEDIF($J117,DATE(2026,9,10),"Y"))</f>
        <v>58</v>
      </c>
      <c r="I11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17" s="33">
        <v>24840</v>
      </c>
      <c r="K117" s="42" t="s">
        <v>150</v>
      </c>
      <c r="L117" s="42" t="str">
        <f>PROPER(Base_Original!G117)</f>
        <v>Gargalo</v>
      </c>
      <c r="M117" s="43">
        <v>2800</v>
      </c>
      <c r="N117" s="43">
        <f>IF(ISNUMBER(Base_Original!I117),Base_Original!I117,IF(RIGHT(Base_Original!I117,7)=" moedas",VALUE(LEFT(Base_Original!I117,LEN(Base_Original!I117)-7)),Base_Original!I117))</f>
        <v>35000</v>
      </c>
      <c r="O117" s="44" t="str">
        <f>IF(AND($N117&gt;50000,$Q117="Sim"),"Negada","Aprovada")</f>
        <v>Aprovada</v>
      </c>
      <c r="P117" s="45">
        <f>IF(AND($T117="Negada",$O117="Negada"),0,IF($B117="Ativo",$U117*8%,"0"))</f>
        <v>720</v>
      </c>
      <c r="Q117" s="46" t="str">
        <f>IF(OR(Base_Original!J117="Sim",Base_Original!J117="sim",Base_Original!J117="SIM"),"Sim",IF(OR(Base_Original!J117="Não",Base_Original!J117="não",Base_Original!J117="NÃO",Base_Original!J117="Nao"),"Não",IF(Base_Original!J117="","vazio",Base_Original!J117)))</f>
        <v>Não</v>
      </c>
      <c r="R117" s="46">
        <f>IF(ISNUMBER(Base_Original!K117),Base_Original!K117,IF(RIGHT(Base_Original!K117,9)=" batalhas",VALUE(LEFT(Base_Original!K117,LEN(Base_Original!K117)-9)),Base_Original!K117))</f>
        <v>36</v>
      </c>
      <c r="S117" s="42" t="str">
        <f>IF($R117="vazio","vazio",IF($R117&lt;=10,"Baixo",IF($R117&lt;=25,"Médio","Alto")))</f>
        <v>Alto</v>
      </c>
      <c r="T117" s="42" t="str">
        <f>IF(AND($S117="Alto",$Q117="Sim"),"Negada","Aprovada")</f>
        <v>Aprovada</v>
      </c>
      <c r="U117" s="43">
        <v>9000</v>
      </c>
    </row>
    <row r="118" spans="1:21">
      <c r="A118" s="47" t="s">
        <v>972</v>
      </c>
      <c r="B118" s="37" t="str">
        <f>IF(Base_Original!A118="","vazio",IF(Base_Original!A118="ATIVO","Ativo",IF(Base_Original!A118="INATIVO","Inativo",Base_Original!A118)))</f>
        <v>Ativo</v>
      </c>
      <c r="C118" s="37" t="str">
        <f>PROPER(Base_Original!B118)</f>
        <v>Gilly Marbrand</v>
      </c>
      <c r="D118" s="38">
        <v>15600</v>
      </c>
      <c r="E118" s="39" t="str">
        <f>IF($D118="","Vazio",IF(LEN(SUBSTITUTE(SUBSTITUTE($D118&amp;"",".",""),"-",""))&lt;&gt;11,"Inválido","OK"))</f>
        <v>Inválido</v>
      </c>
      <c r="F118" s="39" t="str">
        <f>IF($D118="","Vazio",IF(COUNTIF($D$2:$D$369,$D118)&gt;1,"Duplicado","Único"))</f>
        <v>Único</v>
      </c>
      <c r="G118" s="40" t="str">
        <f>IF(TRIM(Base_Original!D118)="","",SUBSTITUTE(TRIM(Base_Original!D118),"anos",""))</f>
        <v>44</v>
      </c>
      <c r="H118" s="50">
        <f>IF($J118="","Vazio",DATEDIF($J118,DATE(2026,9,10),"Y"))</f>
        <v>44</v>
      </c>
      <c r="I11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18" s="33">
        <v>29843</v>
      </c>
      <c r="K118" s="42" t="s">
        <v>69</v>
      </c>
      <c r="L118" s="42" t="str">
        <f>PROPER(Base_Original!G118)</f>
        <v>Terras Da Coroa</v>
      </c>
      <c r="M118" s="43">
        <v>11300</v>
      </c>
      <c r="N118" s="43">
        <f>IF(ISNUMBER(Base_Original!I118),Base_Original!I118,IF(RIGHT(Base_Original!I118,7)=" moedas",VALUE(LEFT(Base_Original!I118,LEN(Base_Original!I118)-7)),Base_Original!I118))</f>
        <v>55000</v>
      </c>
      <c r="O118" s="44" t="str">
        <f>IF(AND($N118&gt;50000,$Q118="Sim"),"Negada","Aprovada")</f>
        <v>Aprovada</v>
      </c>
      <c r="P118" s="45">
        <f>IF(AND($T118="Negada",$O118="Negada"),0,IF($B118="Ativo",$U118*8%,"0"))</f>
        <v>5480</v>
      </c>
      <c r="Q118" s="46" t="str">
        <f>IF(OR(Base_Original!J118="Sim",Base_Original!J118="sim",Base_Original!J118="SIM"),"Sim",IF(OR(Base_Original!J118="Não",Base_Original!J118="não",Base_Original!J118="NÃO",Base_Original!J118="Nao"),"Não",IF(Base_Original!J118="","vazio",Base_Original!J118)))</f>
        <v>Não</v>
      </c>
      <c r="R118" s="46">
        <f>IF(ISNUMBER(Base_Original!K118),Base_Original!K118,IF(RIGHT(Base_Original!K118,9)=" batalhas",VALUE(LEFT(Base_Original!K118,LEN(Base_Original!K118)-9)),Base_Original!K118))</f>
        <v>38</v>
      </c>
      <c r="S118" s="42" t="str">
        <f>IF($R118="vazio","vazio",IF($R118&lt;=10,"Baixo",IF($R118&lt;=25,"Médio","Alto")))</f>
        <v>Alto</v>
      </c>
      <c r="T118" s="42" t="str">
        <f>IF(AND($S118="Alto",$Q118="Sim"),"Negada","Aprovada")</f>
        <v>Aprovada</v>
      </c>
      <c r="U118" s="43">
        <v>68500</v>
      </c>
    </row>
    <row r="119" spans="1:21">
      <c r="A119" s="47" t="s">
        <v>973</v>
      </c>
      <c r="B119" s="37" t="str">
        <f>IF(Base_Original!A119="","vazio",IF(Base_Original!A119="ATIVO","Ativo",IF(Base_Original!A119="INATIVO","Inativo",Base_Original!A119)))</f>
        <v>Ativo</v>
      </c>
      <c r="C119" s="37" t="str">
        <f>PROPER(Base_Original!B119)</f>
        <v>Gilly Mormont</v>
      </c>
      <c r="D119" s="38" t="s">
        <v>310</v>
      </c>
      <c r="E119" s="39" t="str">
        <f>IF($D119="","Vazio",IF(LEN(SUBSTITUTE(SUBSTITUTE($D119&amp;"",".",""),"-",""))&lt;&gt;11,"Inválido","OK"))</f>
        <v>OK</v>
      </c>
      <c r="F119" s="39" t="str">
        <f>IF($D119="","Vazio",IF(COUNTIF($D$2:$D$369,$D119)&gt;1,"Duplicado","Único"))</f>
        <v>Único</v>
      </c>
      <c r="G119" s="40" t="str">
        <f>IF(TRIM(Base_Original!D119)="","",SUBSTITUTE(TRIM(Base_Original!D119),"anos",""))</f>
        <v>65</v>
      </c>
      <c r="H119" s="50">
        <f>IF($J119="","Vazio",DATEDIF($J119,DATE(2026,9,10),"Y"))</f>
        <v>65</v>
      </c>
      <c r="I11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19" s="33">
        <v>22366</v>
      </c>
      <c r="K119" s="42" t="s">
        <v>20</v>
      </c>
      <c r="L119" s="42" t="str">
        <f>PROPER(Base_Original!G119)</f>
        <v>Campina</v>
      </c>
      <c r="M119" s="43">
        <v>18000</v>
      </c>
      <c r="N119" s="43">
        <f>IF(ISNUMBER(Base_Original!I119),Base_Original!I119,IF(RIGHT(Base_Original!I119,7)=" moedas",VALUE(LEFT(Base_Original!I119,LEN(Base_Original!I119)-7)),Base_Original!I119))</f>
        <v>0</v>
      </c>
      <c r="O119" s="44" t="str">
        <f>IF(AND($N119&gt;50000,$Q119="Sim"),"Negada","Aprovada")</f>
        <v>Aprovada</v>
      </c>
      <c r="P119" s="45">
        <f>IF(AND($T119="Negada",$O119="Negada"),0,IF($B119="Ativo",$U119*8%,"0"))</f>
        <v>3080</v>
      </c>
      <c r="Q119" s="46" t="str">
        <f>IF(OR(Base_Original!J119="Sim",Base_Original!J119="sim",Base_Original!J119="SIM"),"Sim",IF(OR(Base_Original!J119="Não",Base_Original!J119="não",Base_Original!J119="NÃO",Base_Original!J119="Nao"),"Não",IF(Base_Original!J119="","vazio",Base_Original!J119)))</f>
        <v>Não</v>
      </c>
      <c r="R119" s="46">
        <f>IF(ISNUMBER(Base_Original!K119),Base_Original!K119,IF(RIGHT(Base_Original!K119,9)=" batalhas",VALUE(LEFT(Base_Original!K119,LEN(Base_Original!K119)-9)),Base_Original!K119))</f>
        <v>27</v>
      </c>
      <c r="S119" s="42" t="str">
        <f>IF($R119="vazio","vazio",IF($R119&lt;=10,"Baixo",IF($R119&lt;=25,"Médio","Alto")))</f>
        <v>Alto</v>
      </c>
      <c r="T119" s="42" t="str">
        <f>IF(AND($S119="Alto",$Q119="Sim"),"Negada","Aprovada")</f>
        <v>Aprovada</v>
      </c>
      <c r="U119" s="43">
        <v>38500</v>
      </c>
    </row>
    <row r="120" spans="1:21">
      <c r="A120" s="47" t="s">
        <v>974</v>
      </c>
      <c r="B120" s="37" t="str">
        <f>IF(Base_Original!A120="","vazio",IF(Base_Original!A120="ATIVO","Ativo",IF(Base_Original!A120="INATIVO","Inativo",Base_Original!A120)))</f>
        <v>vazio</v>
      </c>
      <c r="C120" s="37" t="str">
        <f>PROPER(Base_Original!B120)</f>
        <v>Gilly Swyft</v>
      </c>
      <c r="D120" s="38" t="s">
        <v>312</v>
      </c>
      <c r="E120" s="39" t="str">
        <f>IF($D120="","Vazio",IF(LEN(SUBSTITUTE(SUBSTITUTE($D120&amp;"",".",""),"-",""))&lt;&gt;11,"Inválido","OK"))</f>
        <v>OK</v>
      </c>
      <c r="F120" s="39" t="str">
        <f>IF($D120="","Vazio",IF(COUNTIF($D$2:$D$369,$D120)&gt;1,"Duplicado","Único"))</f>
        <v>Único</v>
      </c>
      <c r="G120" s="40" t="str">
        <f>IF(TRIM(Base_Original!D120)="","",SUBSTITUTE(TRIM(Base_Original!D120),"anos",""))</f>
        <v/>
      </c>
      <c r="H120" s="50">
        <f>IF($J120="","Vazio",DATEDIF($J120,DATE(2026,9,10),"Y"))</f>
        <v>35</v>
      </c>
      <c r="I12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120" s="33">
        <v>33188</v>
      </c>
      <c r="K120" s="42" t="s">
        <v>62</v>
      </c>
      <c r="L120" s="42" t="str">
        <f>PROPER(Base_Original!G120)</f>
        <v>Essos</v>
      </c>
      <c r="M120" s="43">
        <v>29900</v>
      </c>
      <c r="N120" s="43">
        <f>IF(ISNUMBER(Base_Original!I120),Base_Original!I120,IF(RIGHT(Base_Original!I120,7)=" moedas",VALUE(LEFT(Base_Original!I120,LEN(Base_Original!I120)-7)),Base_Original!I120))</f>
        <v>64500</v>
      </c>
      <c r="O120" s="44" t="str">
        <f>IF(AND($N120&gt;50000,$Q120="Sim"),"Negada","Aprovada")</f>
        <v>Aprovada</v>
      </c>
      <c r="P120" s="45" t="str">
        <f>IF(AND($T120="Negada",$O120="Negada"),0,IF($B120="Ativo",$U120*8%,"0"))</f>
        <v>0</v>
      </c>
      <c r="Q120" s="46" t="str">
        <f>IF(OR(Base_Original!J120="Sim",Base_Original!J120="sim",Base_Original!J120="SIM"),"Sim",IF(OR(Base_Original!J120="Não",Base_Original!J120="não",Base_Original!J120="NÃO",Base_Original!J120="Nao"),"Não",IF(Base_Original!J120="","vazio",Base_Original!J120)))</f>
        <v>Não</v>
      </c>
      <c r="R120" s="46">
        <f>IF(ISNUMBER(Base_Original!K120),Base_Original!K120,IF(RIGHT(Base_Original!K120,9)=" batalhas",VALUE(LEFT(Base_Original!K120,LEN(Base_Original!K120)-9)),Base_Original!K120))</f>
        <v>34</v>
      </c>
      <c r="S120" s="42" t="str">
        <f>IF($R120="vazio","vazio",IF($R120&lt;=10,"Baixo",IF($R120&lt;=25,"Médio","Alto")))</f>
        <v>Alto</v>
      </c>
      <c r="T120" s="42" t="str">
        <f>IF(AND($S120="Alto",$Q120="Sim"),"Negada","Aprovada")</f>
        <v>Aprovada</v>
      </c>
      <c r="U120" s="43">
        <v>48500</v>
      </c>
    </row>
    <row r="121" spans="1:21">
      <c r="A121" s="47" t="s">
        <v>975</v>
      </c>
      <c r="B121" s="37" t="str">
        <f>IF(Base_Original!A121="","vazio",IF(Base_Original!A121="ATIVO","Ativo",IF(Base_Original!A121="INATIVO","Inativo",Base_Original!A121)))</f>
        <v>Ativo</v>
      </c>
      <c r="C121" s="37" t="str">
        <f>PROPER(Base_Original!B121)</f>
        <v>Grey  Worm  Greyjoy</v>
      </c>
      <c r="D121" s="38" t="s">
        <v>314</v>
      </c>
      <c r="E121" s="39" t="str">
        <f>IF($D121="","Vazio",IF(LEN(SUBSTITUTE(SUBSTITUTE($D121&amp;"",".",""),"-",""))&lt;&gt;11,"Inválido","OK"))</f>
        <v>OK</v>
      </c>
      <c r="F121" s="39" t="str">
        <f>IF($D121="","Vazio",IF(COUNTIF($D$2:$D$369,$D121)&gt;1,"Duplicado","Único"))</f>
        <v>Único</v>
      </c>
      <c r="G121" s="40" t="str">
        <f>IF(TRIM(Base_Original!D121)="","",SUBSTITUTE(TRIM(Base_Original!D121),"anos",""))</f>
        <v>58</v>
      </c>
      <c r="H121" s="50">
        <f>IF($J121="","Vazio",DATEDIF($J121,DATE(2026,9,10),"Y"))</f>
        <v>58</v>
      </c>
      <c r="I12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21" s="33">
        <v>25066</v>
      </c>
      <c r="K121" s="42" t="s">
        <v>20</v>
      </c>
      <c r="L121" s="42" t="str">
        <f>PROPER(Base_Original!G121)</f>
        <v>Campina</v>
      </c>
      <c r="M121" s="43">
        <v>4500</v>
      </c>
      <c r="N121" s="43" t="s">
        <v>880</v>
      </c>
      <c r="O121" s="44" t="str">
        <f>IF(AND($N121&gt;50000,$Q121="Sim"),"Negada","Aprovada")</f>
        <v>Negada</v>
      </c>
      <c r="P121" s="45">
        <f>IF(AND($T121="Negada",$O121="Negada"),0,IF($B121="Ativo",$U121*8%,"0"))</f>
        <v>0</v>
      </c>
      <c r="Q121" s="46" t="str">
        <f>IF(OR(Base_Original!J121="Sim",Base_Original!J121="sim",Base_Original!J121="SIM"),"Sim",IF(OR(Base_Original!J121="Não",Base_Original!J121="não",Base_Original!J121="NÃO",Base_Original!J121="Nao"),"Não",IF(Base_Original!J121="","vazio",Base_Original!J121)))</f>
        <v>Sim</v>
      </c>
      <c r="R121" s="46">
        <f>IF(ISNUMBER(Base_Original!K121),Base_Original!K121,IF(RIGHT(Base_Original!K121,9)=" batalhas",VALUE(LEFT(Base_Original!K121,LEN(Base_Original!K121)-9)),Base_Original!K121))</f>
        <v>31</v>
      </c>
      <c r="S121" s="42" t="str">
        <f>IF($R121="vazio","vazio",IF($R121&lt;=10,"Baixo",IF($R121&lt;=25,"Médio","Alto")))</f>
        <v>Alto</v>
      </c>
      <c r="T121" s="42" t="str">
        <f>IF(AND($S121="Alto",$Q121="Sim"),"Negada","Aprovada")</f>
        <v>Negada</v>
      </c>
      <c r="U121" s="43">
        <v>97500</v>
      </c>
    </row>
    <row r="122" spans="1:21">
      <c r="A122" s="47" t="s">
        <v>976</v>
      </c>
      <c r="B122" s="37" t="str">
        <f>IF(Base_Original!A122="","vazio",IF(Base_Original!A122="ATIVO","Ativo",IF(Base_Original!A122="INATIVO","Inativo",Base_Original!A122)))</f>
        <v>Inativo</v>
      </c>
      <c r="C122" s="37" t="str">
        <f>PROPER(Base_Original!B122)</f>
        <v>Grey Worm Baratheon</v>
      </c>
      <c r="D122" s="38" t="s">
        <v>316</v>
      </c>
      <c r="E122" s="39" t="str">
        <f>IF($D122="","Vazio",IF(LEN(SUBSTITUTE(SUBSTITUTE($D122&amp;"",".",""),"-",""))&lt;&gt;11,"Inválido","OK"))</f>
        <v>OK</v>
      </c>
      <c r="F122" s="39" t="str">
        <f>IF($D122="","Vazio",IF(COUNTIF($D$2:$D$369,$D122)&gt;1,"Duplicado","Único"))</f>
        <v>Único</v>
      </c>
      <c r="G122" s="40" t="str">
        <f>IF(TRIM(Base_Original!D122)="","",SUBSTITUTE(TRIM(Base_Original!D122),"anos",""))</f>
        <v>29</v>
      </c>
      <c r="H122" s="50">
        <f>IF($J122="","Vazio",DATEDIF($J122,DATE(2026,9,10),"Y"))</f>
        <v>29</v>
      </c>
      <c r="I12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22" s="33">
        <v>35598</v>
      </c>
      <c r="K122" s="42" t="s">
        <v>34</v>
      </c>
      <c r="L122" s="42" t="str">
        <f>PROPER(Base_Original!G122)</f>
        <v>Dorne</v>
      </c>
      <c r="M122" s="43">
        <v>15500</v>
      </c>
      <c r="N122" s="43">
        <f>IF(ISNUMBER(Base_Original!I122),Base_Original!I122,IF(RIGHT(Base_Original!I122,7)=" moedas",VALUE(LEFT(Base_Original!I122,LEN(Base_Original!I122)-7)),Base_Original!I122))</f>
        <v>75000</v>
      </c>
      <c r="O122" s="44" t="str">
        <f>IF(AND($N122&gt;50000,$Q122="Sim"),"Negada","Aprovada")</f>
        <v>Aprovada</v>
      </c>
      <c r="P122" s="45" t="str">
        <f>IF(AND($T122="Negada",$O122="Negada"),0,IF($B122="Ativo",$U122*8%,"0"))</f>
        <v>0</v>
      </c>
      <c r="Q122" s="46" t="str">
        <f>IF(OR(Base_Original!J122="Sim",Base_Original!J122="sim",Base_Original!J122="SIM"),"Sim",IF(OR(Base_Original!J122="Não",Base_Original!J122="não",Base_Original!J122="NÃO",Base_Original!J122="Nao"),"Não",IF(Base_Original!J122="","vazio",Base_Original!J122)))</f>
        <v>Não</v>
      </c>
      <c r="R122" s="46">
        <f>IF(ISNUMBER(Base_Original!K122),Base_Original!K122,IF(RIGHT(Base_Original!K122,9)=" batalhas",VALUE(LEFT(Base_Original!K122,LEN(Base_Original!K122)-9)),Base_Original!K122))</f>
        <v>25</v>
      </c>
      <c r="S122" s="42" t="str">
        <f>IF($R122="vazio","vazio",IF($R122&lt;=10,"Baixo",IF($R122&lt;=25,"Médio","Alto")))</f>
        <v>Médio</v>
      </c>
      <c r="T122" s="42" t="str">
        <f>IF(AND($S122="Alto",$Q122="Sim"),"Negada","Aprovada")</f>
        <v>Aprovada</v>
      </c>
      <c r="U122" s="43">
        <v>47000</v>
      </c>
    </row>
    <row r="123" spans="1:21">
      <c r="A123" s="47" t="s">
        <v>977</v>
      </c>
      <c r="B123" s="37" t="str">
        <f>IF(Base_Original!A123="","vazio",IF(Base_Original!A123="ATIVO","Ativo",IF(Base_Original!A123="INATIVO","Inativo",Base_Original!A123)))</f>
        <v>Ativo</v>
      </c>
      <c r="C123" s="37" t="str">
        <f>PROPER(Base_Original!B123)</f>
        <v>Grey Worm Dondarrion</v>
      </c>
      <c r="D123" s="38">
        <v>23300</v>
      </c>
      <c r="E123" s="39" t="str">
        <f>IF($D123="","Vazio",IF(LEN(SUBSTITUTE(SUBSTITUTE($D123&amp;"",".",""),"-",""))&lt;&gt;11,"Inválido","OK"))</f>
        <v>Inválido</v>
      </c>
      <c r="F123" s="39" t="str">
        <f>IF($D123="","Vazio",IF(COUNTIF($D$2:$D$369,$D123)&gt;1,"Duplicado","Único"))</f>
        <v>Único</v>
      </c>
      <c r="G123" s="40" t="str">
        <f>IF(TRIM(Base_Original!D123)="","",SUBSTITUTE(TRIM(Base_Original!D123),"anos",""))</f>
        <v>38</v>
      </c>
      <c r="H123" s="50">
        <f>IF($J123="","Vazio",DATEDIF($J123,DATE(2026,9,10),"Y"))</f>
        <v>38</v>
      </c>
      <c r="I12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23" s="33">
        <v>32066</v>
      </c>
      <c r="K123" s="42" t="s">
        <v>30</v>
      </c>
      <c r="L123" s="42" t="str">
        <f>PROPER(Base_Original!G123)</f>
        <v>Essos</v>
      </c>
      <c r="M123" s="43">
        <v>9700</v>
      </c>
      <c r="N123" s="43">
        <f>IF(ISNUMBER(Base_Original!I123),Base_Original!I123,IF(RIGHT(Base_Original!I123,7)=" moedas",VALUE(LEFT(Base_Original!I123,LEN(Base_Original!I123)-7)),Base_Original!I123))</f>
        <v>25000</v>
      </c>
      <c r="O123" s="44" t="str">
        <f>IF(AND($N123&gt;50000,$Q123="Sim"),"Negada","Aprovada")</f>
        <v>Aprovada</v>
      </c>
      <c r="P123" s="45">
        <f>IF(AND($T123="Negada",$O123="Negada"),0,IF($B123="Ativo",$U123*8%,"0"))</f>
        <v>4440</v>
      </c>
      <c r="Q123" s="46" t="str">
        <f>IF(OR(Base_Original!J123="Sim",Base_Original!J123="sim",Base_Original!J123="SIM"),"Sim",IF(OR(Base_Original!J123="Não",Base_Original!J123="não",Base_Original!J123="NÃO",Base_Original!J123="Nao"),"Não",IF(Base_Original!J123="","vazio",Base_Original!J123)))</f>
        <v>Não</v>
      </c>
      <c r="R123" s="46">
        <f>IF(ISNUMBER(Base_Original!K123),Base_Original!K123,IF(RIGHT(Base_Original!K123,9)=" batalhas",VALUE(LEFT(Base_Original!K123,LEN(Base_Original!K123)-9)),Base_Original!K123))</f>
        <v>0</v>
      </c>
      <c r="S123" s="42" t="str">
        <f>IF($R123="vazio","vazio",IF($R123&lt;=10,"Baixo",IF($R123&lt;=25,"Médio","Alto")))</f>
        <v>Baixo</v>
      </c>
      <c r="T123" s="42" t="str">
        <f>IF(AND($S123="Alto",$Q123="Sim"),"Negada","Aprovada")</f>
        <v>Aprovada</v>
      </c>
      <c r="U123" s="43">
        <v>55500</v>
      </c>
    </row>
    <row r="124" spans="1:21">
      <c r="A124" s="47" t="s">
        <v>978</v>
      </c>
      <c r="B124" s="37" t="str">
        <f>IF(Base_Original!A124="","vazio",IF(Base_Original!A124="ATIVO","Ativo",IF(Base_Original!A124="INATIVO","Inativo",Base_Original!A124)))</f>
        <v>Inativo</v>
      </c>
      <c r="C124" s="37" t="str">
        <f>PROPER(Base_Original!B124)</f>
        <v>Grey Worm Hornwood</v>
      </c>
      <c r="D124" s="38" t="s">
        <v>319</v>
      </c>
      <c r="E124" s="39" t="str">
        <f>IF($D124="","Vazio",IF(LEN(SUBSTITUTE(SUBSTITUTE($D124&amp;"",".",""),"-",""))&lt;&gt;11,"Inválido","OK"))</f>
        <v>OK</v>
      </c>
      <c r="F124" s="39" t="str">
        <f>IF($D124="","Vazio",IF(COUNTIF($D$2:$D$369,$D124)&gt;1,"Duplicado","Único"))</f>
        <v>Duplicado</v>
      </c>
      <c r="G124" s="40" t="str">
        <f>IF(TRIM(Base_Original!D124)="","",SUBSTITUTE(TRIM(Base_Original!D124),"anos",""))</f>
        <v>26</v>
      </c>
      <c r="H124" s="50">
        <f>IF($J124="","Vazio",DATEDIF($J124,DATE(2026,9,10),"Y"))</f>
        <v>26</v>
      </c>
      <c r="I12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24" s="33">
        <v>36540</v>
      </c>
      <c r="K124" s="42" t="s">
        <v>69</v>
      </c>
      <c r="L124" s="42" t="str">
        <f>PROPER(Base_Original!G124)</f>
        <v>Terras Da Coroa</v>
      </c>
      <c r="M124" s="43">
        <v>24000</v>
      </c>
      <c r="N124" s="43">
        <f>IF(ISNUMBER(Base_Original!I124),Base_Original!I124,IF(RIGHT(Base_Original!I124,7)=" moedas",VALUE(LEFT(Base_Original!I124,LEN(Base_Original!I124)-7)),Base_Original!I124))</f>
        <v>52000</v>
      </c>
      <c r="O124" s="44" t="str">
        <f>IF(AND($N124&gt;50000,$Q124="Sim"),"Negada","Aprovada")</f>
        <v>Aprovada</v>
      </c>
      <c r="P124" s="45" t="str">
        <f>IF(AND($T124="Negada",$O124="Negada"),0,IF($B124="Ativo",$U124*8%,"0"))</f>
        <v>0</v>
      </c>
      <c r="Q124" s="46" t="str">
        <f>IF(OR(Base_Original!J124="Sim",Base_Original!J124="sim",Base_Original!J124="SIM"),"Sim",IF(OR(Base_Original!J124="Não",Base_Original!J124="não",Base_Original!J124="NÃO",Base_Original!J124="Nao"),"Não",IF(Base_Original!J124="","vazio",Base_Original!J124)))</f>
        <v>Não</v>
      </c>
      <c r="R124" s="46">
        <f>IF(ISNUMBER(Base_Original!K124),Base_Original!K124,IF(RIGHT(Base_Original!K124,9)=" batalhas",VALUE(LEFT(Base_Original!K124,LEN(Base_Original!K124)-9)),Base_Original!K124))</f>
        <v>30</v>
      </c>
      <c r="S124" s="42" t="str">
        <f>IF($R124="vazio","vazio",IF($R124&lt;=10,"Baixo",IF($R124&lt;=25,"Médio","Alto")))</f>
        <v>Alto</v>
      </c>
      <c r="T124" s="42" t="str">
        <f>IF(AND($S124="Alto",$Q124="Sim"),"Negada","Aprovada")</f>
        <v>Aprovada</v>
      </c>
      <c r="U124" s="43">
        <v>62500</v>
      </c>
    </row>
    <row r="125" spans="1:21">
      <c r="A125" s="47" t="s">
        <v>979</v>
      </c>
      <c r="B125" s="37" t="str">
        <f>IF(Base_Original!A125="","vazio",IF(Base_Original!A125="ATIVO","Ativo",IF(Base_Original!A125="INATIVO","Inativo",Base_Original!A125)))</f>
        <v>Inativo</v>
      </c>
      <c r="C125" s="37" t="str">
        <f>PROPER(Base_Original!B125)</f>
        <v>Grey Worm Hornwood</v>
      </c>
      <c r="D125" s="38" t="s">
        <v>319</v>
      </c>
      <c r="E125" s="39" t="str">
        <f>IF($D125="","Vazio",IF(LEN(SUBSTITUTE(SUBSTITUTE($D125&amp;"",".",""),"-",""))&lt;&gt;11,"Inválido","OK"))</f>
        <v>OK</v>
      </c>
      <c r="F125" s="39" t="str">
        <f>IF($D125="","Vazio",IF(COUNTIF($D$2:$D$369,$D125)&gt;1,"Duplicado","Único"))</f>
        <v>Duplicado</v>
      </c>
      <c r="G125" s="40" t="str">
        <f>IF(TRIM(Base_Original!D125)="","",SUBSTITUTE(TRIM(Base_Original!D125),"anos",""))</f>
        <v>26</v>
      </c>
      <c r="H125" s="50">
        <f>IF($J125="","Vazio",DATEDIF($J125,DATE(2026,9,10),"Y"))</f>
        <v>26</v>
      </c>
      <c r="I12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25" s="33">
        <v>36540</v>
      </c>
      <c r="K125" s="42" t="s">
        <v>69</v>
      </c>
      <c r="L125" s="42" t="str">
        <f>PROPER(Base_Original!G125)</f>
        <v>Terras Da Coroa</v>
      </c>
      <c r="M125" s="43">
        <v>24000</v>
      </c>
      <c r="N125" s="43">
        <f>IF(ISNUMBER(Base_Original!I125),Base_Original!I125,IF(RIGHT(Base_Original!I125,7)=" moedas",VALUE(LEFT(Base_Original!I125,LEN(Base_Original!I125)-7)),Base_Original!I125))</f>
        <v>52000</v>
      </c>
      <c r="O125" s="44" t="str">
        <f>IF(AND($N125&gt;50000,$Q125="Sim"),"Negada","Aprovada")</f>
        <v>Aprovada</v>
      </c>
      <c r="P125" s="45" t="str">
        <f>IF(AND($T125="Negada",$O125="Negada"),0,IF($B125="Ativo",$U125*8%,"0"))</f>
        <v>0</v>
      </c>
      <c r="Q125" s="46" t="str">
        <f>IF(OR(Base_Original!J125="Sim",Base_Original!J125="sim",Base_Original!J125="SIM"),"Sim",IF(OR(Base_Original!J125="Não",Base_Original!J125="não",Base_Original!J125="NÃO",Base_Original!J125="Nao"),"Não",IF(Base_Original!J125="","vazio",Base_Original!J125)))</f>
        <v>Não</v>
      </c>
      <c r="R125" s="46">
        <f>IF(ISNUMBER(Base_Original!K125),Base_Original!K125,IF(RIGHT(Base_Original!K125,9)=" batalhas",VALUE(LEFT(Base_Original!K125,LEN(Base_Original!K125)-9)),Base_Original!K125))</f>
        <v>30</v>
      </c>
      <c r="S125" s="42" t="str">
        <f>IF($R125="vazio","vazio",IF($R125&lt;=10,"Baixo",IF($R125&lt;=25,"Médio","Alto")))</f>
        <v>Alto</v>
      </c>
      <c r="T125" s="42" t="str">
        <f>IF(AND($S125="Alto",$Q125="Sim"),"Negada","Aprovada")</f>
        <v>Aprovada</v>
      </c>
      <c r="U125" s="43">
        <v>11500</v>
      </c>
    </row>
    <row r="126" spans="1:21">
      <c r="A126" s="47" t="s">
        <v>980</v>
      </c>
      <c r="B126" s="37" t="str">
        <f>IF(Base_Original!A126="","vazio",IF(Base_Original!A126="ATIVO","Ativo",IF(Base_Original!A126="INATIVO","Inativo",Base_Original!A126)))</f>
        <v>Ativo</v>
      </c>
      <c r="C126" s="37" t="str">
        <f>PROPER(Base_Original!B126)</f>
        <v>Grey Worm Targaryen</v>
      </c>
      <c r="D126" s="38" t="s">
        <v>323</v>
      </c>
      <c r="E126" s="39" t="str">
        <f>IF($D126="","Vazio",IF(LEN(SUBSTITUTE(SUBSTITUTE($D126&amp;"",".",""),"-",""))&lt;&gt;11,"Inválido","OK"))</f>
        <v>OK</v>
      </c>
      <c r="F126" s="39" t="str">
        <f>IF($D126="","Vazio",IF(COUNTIF($D$2:$D$369,$D126)&gt;1,"Duplicado","Único"))</f>
        <v>Único</v>
      </c>
      <c r="G126" s="40" t="str">
        <f>IF(TRIM(Base_Original!D126)="","",SUBSTITUTE(TRIM(Base_Original!D126),"anos",""))</f>
        <v>48</v>
      </c>
      <c r="H126" s="50">
        <f>IF($J126="","Vazio",DATEDIF($J126,DATE(2026,9,10),"Y"))</f>
        <v>48</v>
      </c>
      <c r="I12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26" s="33">
        <v>28689</v>
      </c>
      <c r="K126" s="42" t="s">
        <v>180</v>
      </c>
      <c r="L126" s="42" t="str">
        <f>PROPER(Base_Original!G126)</f>
        <v>Terras Da Tempestade</v>
      </c>
      <c r="M126" s="43">
        <v>18700</v>
      </c>
      <c r="N126" s="43">
        <f>IF(ISNUMBER(Base_Original!I126),Base_Original!I126,IF(RIGHT(Base_Original!I126,7)=" moedas",VALUE(LEFT(Base_Original!I126,LEN(Base_Original!I126)-7)),Base_Original!I126))</f>
        <v>11000</v>
      </c>
      <c r="O126" s="44" t="str">
        <f>IF(AND($N126&gt;50000,$Q126="Sim"),"Negada","Aprovada")</f>
        <v>Aprovada</v>
      </c>
      <c r="P126" s="45">
        <f>IF(AND($T126="Negada",$O126="Negada"),0,IF($B126="Ativo",$U126*8%,"0"))</f>
        <v>1440</v>
      </c>
      <c r="Q126" s="46" t="str">
        <f>IF(OR(Base_Original!J126="Sim",Base_Original!J126="sim",Base_Original!J126="SIM"),"Sim",IF(OR(Base_Original!J126="Não",Base_Original!J126="não",Base_Original!J126="NÃO",Base_Original!J126="Nao"),"Não",IF(Base_Original!J126="","vazio",Base_Original!J126)))</f>
        <v>Não</v>
      </c>
      <c r="R126" s="46">
        <f>IF(ISNUMBER(Base_Original!K126),Base_Original!K126,IF(RIGHT(Base_Original!K126,9)=" batalhas",VALUE(LEFT(Base_Original!K126,LEN(Base_Original!K126)-9)),Base_Original!K126))</f>
        <v>28</v>
      </c>
      <c r="S126" s="42" t="str">
        <f>IF($R126="vazio","vazio",IF($R126&lt;=10,"Baixo",IF($R126&lt;=25,"Médio","Alto")))</f>
        <v>Alto</v>
      </c>
      <c r="T126" s="42" t="str">
        <f>IF(AND($S126="Alto",$Q126="Sim"),"Negada","Aprovada")</f>
        <v>Aprovada</v>
      </c>
      <c r="U126" s="43">
        <v>18000</v>
      </c>
    </row>
    <row r="127" spans="1:21">
      <c r="A127" s="47" t="s">
        <v>981</v>
      </c>
      <c r="B127" s="37" t="str">
        <f>IF(Base_Original!A127="","vazio",IF(Base_Original!A127="ATIVO","Ativo",IF(Base_Original!A127="INATIVO","Inativo",Base_Original!A127)))</f>
        <v>Inativo</v>
      </c>
      <c r="C127" s="37" t="str">
        <f>PROPER(Base_Original!B127)</f>
        <v>Jaime Bracken</v>
      </c>
      <c r="D127" s="38">
        <v>16600</v>
      </c>
      <c r="E127" s="39" t="str">
        <f>IF($D127="","Vazio",IF(LEN(SUBSTITUTE(SUBSTITUTE($D127&amp;"",".",""),"-",""))&lt;&gt;11,"Inválido","OK"))</f>
        <v>Inválido</v>
      </c>
      <c r="F127" s="39" t="str">
        <f>IF($D127="","Vazio",IF(COUNTIF($D$2:$D$369,$D127)&gt;1,"Duplicado","Único"))</f>
        <v>Único</v>
      </c>
      <c r="G127" s="40" t="str">
        <f>IF(TRIM(Base_Original!D127)="","",SUBSTITUTE(TRIM(Base_Original!D127),"anos",""))</f>
        <v>35</v>
      </c>
      <c r="H127" s="50">
        <f>IF($J127="","Vazio",DATEDIF($J127,DATE(2026,9,10),"Y"))</f>
        <v>35</v>
      </c>
      <c r="I12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27" s="33">
        <v>33417</v>
      </c>
      <c r="K127" s="42" t="s">
        <v>20</v>
      </c>
      <c r="L127" s="42" t="str">
        <f>PROPER(Base_Original!G127)</f>
        <v>Campina</v>
      </c>
      <c r="M127" s="43">
        <v>12400</v>
      </c>
      <c r="N127" s="43">
        <f>IF(ISNUMBER(Base_Original!I127),Base_Original!I127,IF(RIGHT(Base_Original!I127,7)=" moedas",VALUE(LEFT(Base_Original!I127,LEN(Base_Original!I127)-7)),Base_Original!I127))</f>
        <v>0</v>
      </c>
      <c r="O127" s="44" t="str">
        <f>IF(AND($N127&gt;50000,$Q127="Sim"),"Negada","Aprovada")</f>
        <v>Aprovada</v>
      </c>
      <c r="P127" s="45" t="str">
        <f>IF(AND($T127="Negada",$O127="Negada"),0,IF($B127="Ativo",$U127*8%,"0"))</f>
        <v>0</v>
      </c>
      <c r="Q127" s="46" t="str">
        <f>IF(OR(Base_Original!J127="Sim",Base_Original!J127="sim",Base_Original!J127="SIM"),"Sim",IF(OR(Base_Original!J127="Não",Base_Original!J127="não",Base_Original!J127="NÃO",Base_Original!J127="Nao"),"Não",IF(Base_Original!J127="","vazio",Base_Original!J127)))</f>
        <v>Não</v>
      </c>
      <c r="R127" s="46">
        <f>IF(ISNUMBER(Base_Original!K127),Base_Original!K127,IF(RIGHT(Base_Original!K127,9)=" batalhas",VALUE(LEFT(Base_Original!K127,LEN(Base_Original!K127)-9)),Base_Original!K127))</f>
        <v>3</v>
      </c>
      <c r="S127" s="42" t="str">
        <f>IF($R127="vazio","vazio",IF($R127&lt;=10,"Baixo",IF($R127&lt;=25,"Médio","Alto")))</f>
        <v>Baixo</v>
      </c>
      <c r="T127" s="42" t="str">
        <f>IF(AND($S127="Alto",$Q127="Sim"),"Negada","Aprovada")</f>
        <v>Aprovada</v>
      </c>
      <c r="U127" s="43">
        <v>83500</v>
      </c>
    </row>
    <row r="128" spans="1:21">
      <c r="A128" s="47" t="s">
        <v>982</v>
      </c>
      <c r="B128" s="37" t="str">
        <f>IF(Base_Original!A128="","vazio",IF(Base_Original!A128="ATIVO","Ativo",IF(Base_Original!A128="INATIVO","Inativo",Base_Original!A128)))</f>
        <v>Ativo</v>
      </c>
      <c r="C128" s="37" t="str">
        <f>PROPER(Base_Original!B128)</f>
        <v>Jaime Dondarrion</v>
      </c>
      <c r="D128" s="38" t="s">
        <v>326</v>
      </c>
      <c r="E128" s="39" t="str">
        <f>IF($D128="","Vazio",IF(LEN(SUBSTITUTE(SUBSTITUTE($D128&amp;"",".",""),"-",""))&lt;&gt;11,"Inválido","OK"))</f>
        <v>OK</v>
      </c>
      <c r="F128" s="39" t="str">
        <f>IF($D128="","Vazio",IF(COUNTIF($D$2:$D$369,$D128)&gt;1,"Duplicado","Único"))</f>
        <v>Único</v>
      </c>
      <c r="G128" s="40" t="str">
        <f>IF(TRIM(Base_Original!D128)="","",SUBSTITUTE(TRIM(Base_Original!D128),"anos",""))</f>
        <v>35</v>
      </c>
      <c r="H128" s="50">
        <f>IF($J128="","Vazio",DATEDIF($J128,DATE(2026,9,10),"Y"))</f>
        <v>35</v>
      </c>
      <c r="I12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28" s="33">
        <v>33336</v>
      </c>
      <c r="K128" s="42" t="s">
        <v>51</v>
      </c>
      <c r="L128" s="42" t="str">
        <f>PROPER(Base_Original!G128)</f>
        <v>Vale</v>
      </c>
      <c r="M128" s="43">
        <v>20900</v>
      </c>
      <c r="N128" s="43">
        <f>IF(ISNUMBER(Base_Original!I128),Base_Original!I128,IF(RIGHT(Base_Original!I128,7)=" moedas",VALUE(LEFT(Base_Original!I128,LEN(Base_Original!I128)-7)),Base_Original!I128))</f>
        <v>54000</v>
      </c>
      <c r="O128" s="44" t="str">
        <f>IF(AND($N128&gt;50000,$Q128="Sim"),"Negada","Aprovada")</f>
        <v>Aprovada</v>
      </c>
      <c r="P128" s="45">
        <f>IF(AND($T128="Negada",$O128="Negada"),0,IF($B128="Ativo",$U128*8%,"0"))</f>
        <v>1440</v>
      </c>
      <c r="Q128" s="46">
        <f>IF(OR(Base_Original!J128="Sim",Base_Original!J128="sim",Base_Original!J128="SIM"),"Sim",IF(OR(Base_Original!J128="Não",Base_Original!J128="não",Base_Original!J128="NÃO",Base_Original!J128="Nao"),"Não",IF(Base_Original!J128="","vazio",Base_Original!J128)))</f>
        <v>0</v>
      </c>
      <c r="R128" s="46">
        <f>IF(ISNUMBER(Base_Original!K128),Base_Original!K128,IF(RIGHT(Base_Original!K128,9)=" batalhas",VALUE(LEFT(Base_Original!K128,LEN(Base_Original!K128)-9)),Base_Original!K128))</f>
        <v>44</v>
      </c>
      <c r="S128" s="42" t="str">
        <f>IF($R128="vazio","vazio",IF($R128&lt;=10,"Baixo",IF($R128&lt;=25,"Médio","Alto")))</f>
        <v>Alto</v>
      </c>
      <c r="T128" s="42" t="str">
        <f>IF(AND($S128="Alto",$Q128="Sim"),"Negada","Aprovada")</f>
        <v>Aprovada</v>
      </c>
      <c r="U128" s="43">
        <v>18000</v>
      </c>
    </row>
    <row r="129" spans="1:21">
      <c r="A129" s="47" t="s">
        <v>983</v>
      </c>
      <c r="B129" s="37" t="str">
        <f>IF(Base_Original!A129="","vazio",IF(Base_Original!A129="ATIVO","Ativo",IF(Base_Original!A129="INATIVO","Inativo",Base_Original!A129)))</f>
        <v>Inativo</v>
      </c>
      <c r="C129" s="37" t="str">
        <f>PROPER(Base_Original!B129)</f>
        <v>Jaime Seaworth</v>
      </c>
      <c r="D129" s="38" t="s">
        <v>329</v>
      </c>
      <c r="E129" s="39" t="str">
        <f>IF($D129="","Vazio",IF(LEN(SUBSTITUTE(SUBSTITUTE($D129&amp;"",".",""),"-",""))&lt;&gt;11,"Inválido","OK"))</f>
        <v>OK</v>
      </c>
      <c r="F129" s="39" t="str">
        <f>IF($D129="","Vazio",IF(COUNTIF($D$2:$D$369,$D129)&gt;1,"Duplicado","Único"))</f>
        <v>Único</v>
      </c>
      <c r="G129" s="40" t="str">
        <f>IF(TRIM(Base_Original!D129)="","",SUBSTITUTE(TRIM(Base_Original!D129),"anos",""))</f>
        <v>33</v>
      </c>
      <c r="H129" s="50">
        <f>IF($J129="","Vazio",DATEDIF($J129,DATE(2026,9,10),"Y"))</f>
        <v>33</v>
      </c>
      <c r="I12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29" s="33">
        <v>33989</v>
      </c>
      <c r="K129" s="42" t="s">
        <v>104</v>
      </c>
      <c r="L129" s="42" t="str">
        <f>PROPER(Base_Original!G129)</f>
        <v>Terras Da Coroa</v>
      </c>
      <c r="M129" s="43">
        <v>23400</v>
      </c>
      <c r="N129" s="43">
        <f>IF(ISNUMBER(Base_Original!I129),Base_Original!I129,IF(RIGHT(Base_Original!I129,7)=" moedas",VALUE(LEFT(Base_Original!I129,LEN(Base_Original!I129)-7)),Base_Original!I129))</f>
        <v>59000</v>
      </c>
      <c r="O129" s="44" t="str">
        <f>IF(AND($N129&gt;50000,$Q129="Sim"),"Negada","Aprovada")</f>
        <v>Negada</v>
      </c>
      <c r="P129" s="45">
        <f>IF(AND($T129="Negada",$O129="Negada"),0,IF($B129="Ativo",$U129*8%,"0"))</f>
        <v>0</v>
      </c>
      <c r="Q129" s="46" t="str">
        <f>IF(OR(Base_Original!J129="Sim",Base_Original!J129="sim",Base_Original!J129="SIM"),"Sim",IF(OR(Base_Original!J129="Não",Base_Original!J129="não",Base_Original!J129="NÃO",Base_Original!J129="Nao"),"Não",IF(Base_Original!J129="","vazio",Base_Original!J129)))</f>
        <v>Sim</v>
      </c>
      <c r="R129" s="46">
        <f>IF(ISNUMBER(Base_Original!K129),Base_Original!K129,IF(RIGHT(Base_Original!K129,9)=" batalhas",VALUE(LEFT(Base_Original!K129,LEN(Base_Original!K129)-9)),Base_Original!K129))</f>
        <v>35</v>
      </c>
      <c r="S129" s="42" t="str">
        <f>IF($R129="vazio","vazio",IF($R129&lt;=10,"Baixo",IF($R129&lt;=25,"Médio","Alto")))</f>
        <v>Alto</v>
      </c>
      <c r="T129" s="42" t="str">
        <f>IF(AND($S129="Alto",$Q129="Sim"),"Negada","Aprovada")</f>
        <v>Negada</v>
      </c>
      <c r="U129" s="43">
        <v>39000</v>
      </c>
    </row>
    <row r="130" spans="1:21">
      <c r="A130" s="47" t="s">
        <v>984</v>
      </c>
      <c r="B130" s="37" t="str">
        <f>IF(Base_Original!A130="","vazio",IF(Base_Original!A130="ATIVO","Ativo",IF(Base_Original!A130="INATIVO","Inativo",Base_Original!A130)))</f>
        <v>Ativo</v>
      </c>
      <c r="C130" s="37" t="str">
        <f>PROPER(Base_Original!B130)</f>
        <v>Jaime Yronwood</v>
      </c>
      <c r="D130" s="38"/>
      <c r="E130" s="39" t="str">
        <f>IF($D130="","Vazio",IF(LEN(SUBSTITUTE(SUBSTITUTE($D130&amp;"",".",""),"-",""))&lt;&gt;11,"Inválido","OK"))</f>
        <v>Vazio</v>
      </c>
      <c r="F130" s="39" t="str">
        <f>IF($D130="","Vazio",IF(COUNTIF($D$2:$D$369,$D130)&gt;1,"Duplicado","Único"))</f>
        <v>Vazio</v>
      </c>
      <c r="G130" s="40" t="str">
        <f>IF(TRIM(Base_Original!D130)="","",SUBSTITUTE(TRIM(Base_Original!D130),"anos",""))</f>
        <v>24</v>
      </c>
      <c r="H130" s="50" t="s">
        <v>909</v>
      </c>
      <c r="I130" s="51" t="s">
        <v>909</v>
      </c>
      <c r="J130" s="33"/>
      <c r="K130" s="42" t="s">
        <v>69</v>
      </c>
      <c r="L130" s="42" t="str">
        <f>PROPER(Base_Original!G130)</f>
        <v>Terras Da Coroa</v>
      </c>
      <c r="M130" s="43">
        <v>17000</v>
      </c>
      <c r="N130" s="43">
        <f>IF(ISNUMBER(Base_Original!I130),Base_Original!I130,IF(RIGHT(Base_Original!I130,7)=" moedas",VALUE(LEFT(Base_Original!I130,LEN(Base_Original!I130)-7)),Base_Original!I130))</f>
        <v>41000</v>
      </c>
      <c r="O130" s="44" t="str">
        <f>IF(AND($N130&gt;50000,$Q130="Sim"),"Negada","Aprovada")</f>
        <v>Aprovada</v>
      </c>
      <c r="P130" s="45">
        <f>IF(AND($T130="Negada",$O130="Negada"),0,IF($B130="Ativo",$U130*8%,"0"))</f>
        <v>2640</v>
      </c>
      <c r="Q130" s="46" t="str">
        <f>IF(OR(Base_Original!J130="Sim",Base_Original!J130="sim",Base_Original!J130="SIM"),"Sim",IF(OR(Base_Original!J130="Não",Base_Original!J130="não",Base_Original!J130="NÃO",Base_Original!J130="Nao"),"Não",IF(Base_Original!J130="","vazio",Base_Original!J130)))</f>
        <v>Não</v>
      </c>
      <c r="R130" s="46">
        <f>IF(ISNUMBER(Base_Original!K130),Base_Original!K130,IF(RIGHT(Base_Original!K130,9)=" batalhas",VALUE(LEFT(Base_Original!K130,LEN(Base_Original!K130)-9)),Base_Original!K130))</f>
        <v>37</v>
      </c>
      <c r="S130" s="42" t="str">
        <f>IF($R130="vazio","vazio",IF($R130&lt;=10,"Baixo",IF($R130&lt;=25,"Médio","Alto")))</f>
        <v>Alto</v>
      </c>
      <c r="T130" s="42" t="str">
        <f>IF(AND($S130="Alto",$Q130="Sim"),"Negada","Aprovada")</f>
        <v>Aprovada</v>
      </c>
      <c r="U130" s="43">
        <v>33000</v>
      </c>
    </row>
    <row r="131" spans="1:21">
      <c r="A131" s="47" t="s">
        <v>985</v>
      </c>
      <c r="B131" s="37" t="str">
        <f>IF(Base_Original!A131="","vazio",IF(Base_Original!A131="ATIVO","Ativo",IF(Base_Original!A131="INATIVO","Inativo",Base_Original!A131)))</f>
        <v>Ativoo</v>
      </c>
      <c r="C131" s="37" t="str">
        <f>PROPER(Base_Original!B131)</f>
        <v>Jeor  Payne</v>
      </c>
      <c r="D131" s="38">
        <v>20900</v>
      </c>
      <c r="E131" s="39" t="str">
        <f>IF($D131="","Vazio",IF(LEN(SUBSTITUTE(SUBSTITUTE($D131&amp;"",".",""),"-",""))&lt;&gt;11,"Inválido","OK"))</f>
        <v>Inválido</v>
      </c>
      <c r="F131" s="39" t="str">
        <f>IF($D131="","Vazio",IF(COUNTIF($D$2:$D$369,$D131)&gt;1,"Duplicado","Único"))</f>
        <v>Único</v>
      </c>
      <c r="G131" s="40" t="str">
        <f>IF(TRIM(Base_Original!D131)="","",SUBSTITUTE(TRIM(Base_Original!D131),"anos",""))</f>
        <v>33</v>
      </c>
      <c r="H131" s="50">
        <f>IF($J131="","Vazio",DATEDIF($J131,DATE(2026,9,10),"Y"))</f>
        <v>33</v>
      </c>
      <c r="I13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31" s="33">
        <v>34021</v>
      </c>
      <c r="K131" s="42" t="s">
        <v>180</v>
      </c>
      <c r="L131" s="42" t="str">
        <f>PROPER(Base_Original!G131)</f>
        <v>Terras Da Tempestade</v>
      </c>
      <c r="M131" s="43" t="s">
        <v>880</v>
      </c>
      <c r="N131" s="43">
        <f>IF(ISNUMBER(Base_Original!I131),Base_Original!I131,IF(RIGHT(Base_Original!I131,7)=" moedas",VALUE(LEFT(Base_Original!I131,LEN(Base_Original!I131)-7)),Base_Original!I131))</f>
        <v>73500</v>
      </c>
      <c r="O131" s="44" t="str">
        <f>IF(AND($N131&gt;50000,$Q131="Sim"),"Negada","Aprovada")</f>
        <v>Aprovada</v>
      </c>
      <c r="P131" s="45" t="str">
        <f>IF(AND($T131="Negada",$O131="Negada"),0,IF($B131="Ativo",$U131*8%,"0"))</f>
        <v>0</v>
      </c>
      <c r="Q131" s="46" t="str">
        <f>IF(OR(Base_Original!J131="Sim",Base_Original!J131="sim",Base_Original!J131="SIM"),"Sim",IF(OR(Base_Original!J131="Não",Base_Original!J131="não",Base_Original!J131="NÃO",Base_Original!J131="Nao"),"Não",IF(Base_Original!J131="","vazio",Base_Original!J131)))</f>
        <v>Não</v>
      </c>
      <c r="R131" s="46">
        <f>IF(ISNUMBER(Base_Original!K131),Base_Original!K131,IF(RIGHT(Base_Original!K131,9)=" batalhas",VALUE(LEFT(Base_Original!K131,LEN(Base_Original!K131)-9)),Base_Original!K131))</f>
        <v>33</v>
      </c>
      <c r="S131" s="42" t="str">
        <f>IF($R131="vazio","vazio",IF($R131&lt;=10,"Baixo",IF($R131&lt;=25,"Médio","Alto")))</f>
        <v>Alto</v>
      </c>
      <c r="T131" s="42" t="str">
        <f>IF(AND($S131="Alto",$Q131="Sim"),"Negada","Aprovada")</f>
        <v>Aprovada</v>
      </c>
      <c r="U131" s="43">
        <v>95000</v>
      </c>
    </row>
    <row r="132" spans="1:21">
      <c r="A132" s="47" t="s">
        <v>986</v>
      </c>
      <c r="B132" s="37" t="str">
        <f>IF(Base_Original!A132="","vazio",IF(Base_Original!A132="ATIVO","Ativo",IF(Base_Original!A132="INATIVO","Inativo",Base_Original!A132)))</f>
        <v>Inativo</v>
      </c>
      <c r="C132" s="37" t="str">
        <f>PROPER(Base_Original!B132)</f>
        <v>Jeor Baelish</v>
      </c>
      <c r="D132" s="38" t="s">
        <v>334</v>
      </c>
      <c r="E132" s="39" t="str">
        <f>IF($D132="","Vazio",IF(LEN(SUBSTITUTE(SUBSTITUTE($D132&amp;"",".",""),"-",""))&lt;&gt;11,"Inválido","OK"))</f>
        <v>OK</v>
      </c>
      <c r="F132" s="39" t="str">
        <f>IF($D132="","Vazio",IF(COUNTIF($D$2:$D$369,$D132)&gt;1,"Duplicado","Único"))</f>
        <v>Único</v>
      </c>
      <c r="G132" s="40" t="str">
        <f>IF(TRIM(Base_Original!D132)="","",SUBSTITUTE(TRIM(Base_Original!D132),"anos",""))</f>
        <v>66</v>
      </c>
      <c r="H132" s="50">
        <f>IF($J132="","Vazio",DATEDIF($J132,DATE(2026,9,10),"Y"))</f>
        <v>66</v>
      </c>
      <c r="I13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32" s="33">
        <v>22039</v>
      </c>
      <c r="K132" s="42" t="s">
        <v>34</v>
      </c>
      <c r="L132" s="42" t="str">
        <f>PROPER(Base_Original!G132)</f>
        <v>Dorne</v>
      </c>
      <c r="M132" s="43">
        <v>14300</v>
      </c>
      <c r="N132" s="43">
        <f>IF(ISNUMBER(Base_Original!I132),Base_Original!I132,IF(RIGHT(Base_Original!I132,7)=" moedas",VALUE(LEFT(Base_Original!I132,LEN(Base_Original!I132)-7)),Base_Original!I132))</f>
        <v>78000</v>
      </c>
      <c r="O132" s="44" t="str">
        <f>IF(AND($N132&gt;50000,$Q132="Sim"),"Negada","Aprovada")</f>
        <v>Aprovada</v>
      </c>
      <c r="P132" s="45" t="str">
        <f>IF(AND($T132="Negada",$O132="Negada"),0,IF($B132="Ativo",$U132*8%,"0"))</f>
        <v>0</v>
      </c>
      <c r="Q132" s="46" t="str">
        <f>IF(OR(Base_Original!J132="Sim",Base_Original!J132="sim",Base_Original!J132="SIM"),"Sim",IF(OR(Base_Original!J132="Não",Base_Original!J132="não",Base_Original!J132="NÃO",Base_Original!J132="Nao"),"Não",IF(Base_Original!J132="","vazio",Base_Original!J132)))</f>
        <v>Não</v>
      </c>
      <c r="R132" s="46">
        <f>IF(ISNUMBER(Base_Original!K132),Base_Original!K132,IF(RIGHT(Base_Original!K132,9)=" batalhas",VALUE(LEFT(Base_Original!K132,LEN(Base_Original!K132)-9)),Base_Original!K132))</f>
        <v>28</v>
      </c>
      <c r="S132" s="42" t="str">
        <f>IF($R132="vazio","vazio",IF($R132&lt;=10,"Baixo",IF($R132&lt;=25,"Médio","Alto")))</f>
        <v>Alto</v>
      </c>
      <c r="T132" s="42" t="str">
        <f>IF(AND($S132="Alto",$Q132="Sim"),"Negada","Aprovada")</f>
        <v>Aprovada</v>
      </c>
      <c r="U132" s="43">
        <v>74500</v>
      </c>
    </row>
    <row r="133" spans="1:21">
      <c r="A133" s="47" t="s">
        <v>987</v>
      </c>
      <c r="B133" s="37" t="str">
        <f>IF(Base_Original!A133="","vazio",IF(Base_Original!A133="ATIVO","Ativo",IF(Base_Original!A133="INATIVO","Inativo",Base_Original!A133)))</f>
        <v>Inativo</v>
      </c>
      <c r="C133" s="37" t="str">
        <f>PROPER(Base_Original!B133)</f>
        <v>Jeor Clegane</v>
      </c>
      <c r="D133" s="38">
        <v>27300</v>
      </c>
      <c r="E133" s="39" t="str">
        <f>IF($D133="","Vazio",IF(LEN(SUBSTITUTE(SUBSTITUTE($D133&amp;"",".",""),"-",""))&lt;&gt;11,"Inválido","OK"))</f>
        <v>Inválido</v>
      </c>
      <c r="F133" s="39" t="str">
        <f>IF($D133="","Vazio",IF(COUNTIF($D$2:$D$369,$D133)&gt;1,"Duplicado","Único"))</f>
        <v>Único</v>
      </c>
      <c r="G133" s="40" t="str">
        <f>IF(TRIM(Base_Original!D133)="","",SUBSTITUTE(TRIM(Base_Original!D133),"anos",""))</f>
        <v>66</v>
      </c>
      <c r="H133" s="50">
        <f>IF($J133="","Vazio",DATEDIF($J133,DATE(2026,9,10),"Y"))</f>
        <v>66</v>
      </c>
      <c r="I13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33" s="33">
        <v>21873</v>
      </c>
      <c r="K133" s="42" t="s">
        <v>99</v>
      </c>
      <c r="L133" s="42" t="str">
        <f>PROPER(Base_Original!G133)</f>
        <v>Norte</v>
      </c>
      <c r="M133" s="43">
        <v>9900</v>
      </c>
      <c r="N133" s="43">
        <f>IF(ISNUMBER(Base_Original!I133),Base_Original!I133,IF(RIGHT(Base_Original!I133,7)=" moedas",VALUE(LEFT(Base_Original!I133,LEN(Base_Original!I133)-7)),Base_Original!I133))</f>
        <v>42000</v>
      </c>
      <c r="O133" s="44" t="str">
        <f>IF(AND($N133&gt;50000,$Q133="Sim"),"Negada","Aprovada")</f>
        <v>Aprovada</v>
      </c>
      <c r="P133" s="45" t="str">
        <f>IF(AND($T133="Negada",$O133="Negada"),0,IF($B133="Ativo",$U133*8%,"0"))</f>
        <v>0</v>
      </c>
      <c r="Q133" s="46" t="str">
        <f>IF(OR(Base_Original!J133="Sim",Base_Original!J133="sim",Base_Original!J133="SIM"),"Sim",IF(OR(Base_Original!J133="Não",Base_Original!J133="não",Base_Original!J133="NÃO",Base_Original!J133="Nao"),"Não",IF(Base_Original!J133="","vazio",Base_Original!J133)))</f>
        <v>Não</v>
      </c>
      <c r="R133" s="46">
        <f>IF(ISNUMBER(Base_Original!K133),Base_Original!K133,IF(RIGHT(Base_Original!K133,9)=" batalhas",VALUE(LEFT(Base_Original!K133,LEN(Base_Original!K133)-9)),Base_Original!K133))</f>
        <v>13</v>
      </c>
      <c r="S133" s="42" t="str">
        <f>IF($R133="vazio","vazio",IF($R133&lt;=10,"Baixo",IF($R133&lt;=25,"Médio","Alto")))</f>
        <v>Médio</v>
      </c>
      <c r="T133" s="42" t="str">
        <f>IF(AND($S133="Alto",$Q133="Sim"),"Negada","Aprovada")</f>
        <v>Aprovada</v>
      </c>
      <c r="U133" s="43">
        <v>37000</v>
      </c>
    </row>
    <row r="134" spans="1:21">
      <c r="A134" s="47" t="s">
        <v>988</v>
      </c>
      <c r="B134" s="37" t="str">
        <f>IF(Base_Original!A134="","vazio",IF(Base_Original!A134="ATIVO","Ativo",IF(Base_Original!A134="INATIVO","Inativo",Base_Original!A134)))</f>
        <v>Ativo</v>
      </c>
      <c r="C134" s="37" t="str">
        <f>PROPER(Base_Original!B134)</f>
        <v>Jeor Florent</v>
      </c>
      <c r="D134" s="38" t="s">
        <v>340</v>
      </c>
      <c r="E134" s="39" t="str">
        <f>IF($D134="","Vazio",IF(LEN(SUBSTITUTE(SUBSTITUTE($D134&amp;"",".",""),"-",""))&lt;&gt;11,"Inválido","OK"))</f>
        <v>OK</v>
      </c>
      <c r="F134" s="39" t="str">
        <f>IF($D134="","Vazio",IF(COUNTIF($D$2:$D$369,$D134)&gt;1,"Duplicado","Único"))</f>
        <v>Único</v>
      </c>
      <c r="G134" s="40" t="str">
        <f>IF(TRIM(Base_Original!D134)="","",SUBSTITUTE(TRIM(Base_Original!D134),"anos",""))</f>
        <v>27</v>
      </c>
      <c r="H134" s="50">
        <f>IF($J134="","Vazio",DATEDIF($J134,DATE(2026,9,10),"Y"))</f>
        <v>27</v>
      </c>
      <c r="I13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34" s="33">
        <v>36319</v>
      </c>
      <c r="K134" s="42" t="s">
        <v>180</v>
      </c>
      <c r="L134" s="42" t="str">
        <f>PROPER(Base_Original!G134)</f>
        <v>Terras Da Tempestade</v>
      </c>
      <c r="M134" s="43">
        <v>28800</v>
      </c>
      <c r="N134" s="43">
        <f>IF(ISNUMBER(Base_Original!I134),Base_Original!I134,IF(RIGHT(Base_Original!I134,7)=" moedas",VALUE(LEFT(Base_Original!I134,LEN(Base_Original!I134)-7)),Base_Original!I134))</f>
        <v>78500</v>
      </c>
      <c r="O134" s="44" t="str">
        <f>IF(AND($N134&gt;50000,$Q134="Sim"),"Negada","Aprovada")</f>
        <v>Aprovada</v>
      </c>
      <c r="P134" s="45">
        <f>IF(AND($T134="Negada",$O134="Negada"),0,IF($B134="Ativo",$U134*8%,"0"))</f>
        <v>4240</v>
      </c>
      <c r="Q134" s="46" t="str">
        <f>IF(OR(Base_Original!J134="Sim",Base_Original!J134="sim",Base_Original!J134="SIM"),"Sim",IF(OR(Base_Original!J134="Não",Base_Original!J134="não",Base_Original!J134="NÃO",Base_Original!J134="Nao"),"Não",IF(Base_Original!J134="","vazio",Base_Original!J134)))</f>
        <v>Não</v>
      </c>
      <c r="R134" s="46">
        <f>IF(ISNUMBER(Base_Original!K134),Base_Original!K134,IF(RIGHT(Base_Original!K134,9)=" batalhas",VALUE(LEFT(Base_Original!K134,LEN(Base_Original!K134)-9)),Base_Original!K134))</f>
        <v>2</v>
      </c>
      <c r="S134" s="42" t="str">
        <f>IF($R134="vazio","vazio",IF($R134&lt;=10,"Baixo",IF($R134&lt;=25,"Médio","Alto")))</f>
        <v>Baixo</v>
      </c>
      <c r="T134" s="42" t="str">
        <f>IF(AND($S134="Alto",$Q134="Sim"),"Negada","Aprovada")</f>
        <v>Aprovada</v>
      </c>
      <c r="U134" s="43">
        <v>53000</v>
      </c>
    </row>
    <row r="135" spans="1:21">
      <c r="A135" s="47" t="s">
        <v>989</v>
      </c>
      <c r="B135" s="37" t="str">
        <f>IF(Base_Original!A135="","vazio",IF(Base_Original!A135="ATIVO","Ativo",IF(Base_Original!A135="INATIVO","Inativo",Base_Original!A135)))</f>
        <v>Ativo</v>
      </c>
      <c r="C135" s="37" t="str">
        <f>PROPER(Base_Original!B135)</f>
        <v>Jeor Karstark</v>
      </c>
      <c r="D135" s="38" t="s">
        <v>342</v>
      </c>
      <c r="E135" s="39" t="str">
        <f>IF($D135="","Vazio",IF(LEN(SUBSTITUTE(SUBSTITUTE($D135&amp;"",".",""),"-",""))&lt;&gt;11,"Inválido","OK"))</f>
        <v>OK</v>
      </c>
      <c r="F135" s="39" t="str">
        <f>IF($D135="","Vazio",IF(COUNTIF($D$2:$D$369,$D135)&gt;1,"Duplicado","Único"))</f>
        <v>Único</v>
      </c>
      <c r="G135" s="40" t="str">
        <f>IF(TRIM(Base_Original!D135)="","",SUBSTITUTE(TRIM(Base_Original!D135),"anos",""))</f>
        <v>25</v>
      </c>
      <c r="H135" s="50">
        <f>IF($J135="","Vazio",DATEDIF($J135,DATE(2026,9,10),"Y"))</f>
        <v>25</v>
      </c>
      <c r="I13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35" s="33">
        <v>37137</v>
      </c>
      <c r="K135" s="42" t="s">
        <v>51</v>
      </c>
      <c r="L135" s="42" t="str">
        <f>PROPER(Base_Original!G135)</f>
        <v>Vale</v>
      </c>
      <c r="M135" s="43" t="s">
        <v>880</v>
      </c>
      <c r="N135" s="43">
        <f>IF(ISNUMBER(Base_Original!I135),Base_Original!I135,IF(RIGHT(Base_Original!I135,7)=" moedas",VALUE(LEFT(Base_Original!I135,LEN(Base_Original!I135)-7)),Base_Original!I135))</f>
        <v>21000</v>
      </c>
      <c r="O135" s="44" t="str">
        <f>IF(AND($N135&gt;50000,$Q135="Sim"),"Negada","Aprovada")</f>
        <v>Aprovada</v>
      </c>
      <c r="P135" s="45">
        <f>IF(AND($T135="Negada",$O135="Negada"),0,IF($B135="Ativo",$U135*8%,"0"))</f>
        <v>600</v>
      </c>
      <c r="Q135" s="46" t="str">
        <f>IF(OR(Base_Original!J135="Sim",Base_Original!J135="sim",Base_Original!J135="SIM"),"Sim",IF(OR(Base_Original!J135="Não",Base_Original!J135="não",Base_Original!J135="NÃO",Base_Original!J135="Nao"),"Não",IF(Base_Original!J135="","vazio",Base_Original!J135)))</f>
        <v>Não</v>
      </c>
      <c r="R135" s="46">
        <f>IF(ISNUMBER(Base_Original!K135),Base_Original!K135,IF(RIGHT(Base_Original!K135,9)=" batalhas",VALUE(LEFT(Base_Original!K135,LEN(Base_Original!K135)-9)),Base_Original!K135))</f>
        <v>34</v>
      </c>
      <c r="S135" s="42" t="str">
        <f>IF($R135="vazio","vazio",IF($R135&lt;=10,"Baixo",IF($R135&lt;=25,"Médio","Alto")))</f>
        <v>Alto</v>
      </c>
      <c r="T135" s="42" t="str">
        <f>IF(AND($S135="Alto",$Q135="Sim"),"Negada","Aprovada")</f>
        <v>Aprovada</v>
      </c>
      <c r="U135" s="43">
        <v>7500</v>
      </c>
    </row>
    <row r="136" spans="1:21">
      <c r="A136" s="47" t="s">
        <v>990</v>
      </c>
      <c r="B136" s="37" t="str">
        <f>IF(Base_Original!A136="","vazio",IF(Base_Original!A136="ATIVO","Ativo",IF(Base_Original!A136="INATIVO","Inativo",Base_Original!A136)))</f>
        <v>Ativo</v>
      </c>
      <c r="C136" s="37" t="str">
        <f>PROPER(Base_Original!B136)</f>
        <v>Jeor Lannister</v>
      </c>
      <c r="D136" s="38" t="s">
        <v>344</v>
      </c>
      <c r="E136" s="39" t="str">
        <f>IF($D136="","Vazio",IF(LEN(SUBSTITUTE(SUBSTITUTE($D136&amp;"",".",""),"-",""))&lt;&gt;11,"Inválido","OK"))</f>
        <v>OK</v>
      </c>
      <c r="F136" s="39" t="str">
        <f>IF($D136="","Vazio",IF(COUNTIF($D$2:$D$369,$D136)&gt;1,"Duplicado","Único"))</f>
        <v>Único</v>
      </c>
      <c r="G136" s="40" t="str">
        <f>IF(TRIM(Base_Original!D136)="","",SUBSTITUTE(TRIM(Base_Original!D136),"anos",""))</f>
        <v>37</v>
      </c>
      <c r="H136" s="50">
        <f>IF($J136="","Vazio",DATEDIF($J136,DATE(2026,9,10),"Y"))</f>
        <v>37</v>
      </c>
      <c r="I13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36" s="33">
        <v>32412</v>
      </c>
      <c r="K136" s="42" t="s">
        <v>99</v>
      </c>
      <c r="L136" s="42" t="str">
        <f>PROPER(Base_Original!G136)</f>
        <v>Norte</v>
      </c>
      <c r="M136" s="43">
        <v>24700</v>
      </c>
      <c r="N136" s="43">
        <f>IF(ISNUMBER(Base_Original!I136),Base_Original!I136,IF(RIGHT(Base_Original!I136,7)=" moedas",VALUE(LEFT(Base_Original!I136,LEN(Base_Original!I136)-7)),Base_Original!I136))</f>
        <v>23000</v>
      </c>
      <c r="O136" s="44" t="str">
        <f>IF(AND($N136&gt;50000,$Q136="Sim"),"Negada","Aprovada")</f>
        <v>Aprovada</v>
      </c>
      <c r="P136" s="45">
        <f>IF(AND($T136="Negada",$O136="Negada"),0,IF($B136="Ativo",$U136*8%,"0"))</f>
        <v>3000</v>
      </c>
      <c r="Q136" s="46" t="str">
        <f>IF(OR(Base_Original!J136="Sim",Base_Original!J136="sim",Base_Original!J136="SIM"),"Sim",IF(OR(Base_Original!J136="Não",Base_Original!J136="não",Base_Original!J136="NÃO",Base_Original!J136="Nao"),"Não",IF(Base_Original!J136="","vazio",Base_Original!J136)))</f>
        <v>Sim</v>
      </c>
      <c r="R136" s="46">
        <f>IF(ISNUMBER(Base_Original!K136),Base_Original!K136,IF(RIGHT(Base_Original!K136,9)=" batalhas",VALUE(LEFT(Base_Original!K136,LEN(Base_Original!K136)-9)),Base_Original!K136))</f>
        <v>10</v>
      </c>
      <c r="S136" s="42" t="str">
        <f>IF($R136="vazio","vazio",IF($R136&lt;=10,"Baixo",IF($R136&lt;=25,"Médio","Alto")))</f>
        <v>Baixo</v>
      </c>
      <c r="T136" s="42" t="str">
        <f>IF(AND($S136="Alto",$Q136="Sim"),"Negada","Aprovada")</f>
        <v>Aprovada</v>
      </c>
      <c r="U136" s="43">
        <v>37500</v>
      </c>
    </row>
    <row r="137" spans="1:21">
      <c r="A137" s="47" t="s">
        <v>991</v>
      </c>
      <c r="B137" s="37" t="str">
        <f>IF(Base_Original!A137="","vazio",IF(Base_Original!A137="ATIVO","Ativo",IF(Base_Original!A137="INATIVO","Inativo",Base_Original!A137)))</f>
        <v>Inativo</v>
      </c>
      <c r="C137" s="37" t="str">
        <f>PROPER(Base_Original!B137)</f>
        <v>Jeor Mallister</v>
      </c>
      <c r="D137" s="38" t="s">
        <v>347</v>
      </c>
      <c r="E137" s="39" t="str">
        <f>IF($D137="","Vazio",IF(LEN(SUBSTITUTE(SUBSTITUTE($D137&amp;"",".",""),"-",""))&lt;&gt;11,"Inválido","OK"))</f>
        <v>OK</v>
      </c>
      <c r="F137" s="39" t="str">
        <f>IF($D137="","Vazio",IF(COUNTIF($D$2:$D$369,$D137)&gt;1,"Duplicado","Único"))</f>
        <v>Único</v>
      </c>
      <c r="G137" s="40" t="str">
        <f>IF(TRIM(Base_Original!D137)="","",SUBSTITUTE(TRIM(Base_Original!D137),"anos",""))</f>
        <v>47</v>
      </c>
      <c r="H137" s="50">
        <f>IF($J137="","Vazio",DATEDIF($J137,DATE(2026,9,10),"Y"))</f>
        <v>47</v>
      </c>
      <c r="I13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37" s="33">
        <v>29064</v>
      </c>
      <c r="K137" s="42" t="s">
        <v>25</v>
      </c>
      <c r="L137" s="42" t="str">
        <f>PROPER(Base_Original!G137)</f>
        <v>Terras Fluviais</v>
      </c>
      <c r="M137" s="43">
        <v>13300</v>
      </c>
      <c r="N137" s="43">
        <f>IF(ISNUMBER(Base_Original!I137),Base_Original!I137,IF(RIGHT(Base_Original!I137,7)=" moedas",VALUE(LEFT(Base_Original!I137,LEN(Base_Original!I137)-7)),Base_Original!I137))</f>
        <v>1000</v>
      </c>
      <c r="O137" s="44" t="str">
        <f>IF(AND($N137&gt;50000,$Q137="Sim"),"Negada","Aprovada")</f>
        <v>Aprovada</v>
      </c>
      <c r="P137" s="45" t="str">
        <f>IF(AND($T137="Negada",$O137="Negada"),0,IF($B137="Ativo",$U137*8%,"0"))</f>
        <v>0</v>
      </c>
      <c r="Q137" s="46" t="str">
        <f>IF(OR(Base_Original!J137="Sim",Base_Original!J137="sim",Base_Original!J137="SIM"),"Sim",IF(OR(Base_Original!J137="Não",Base_Original!J137="não",Base_Original!J137="NÃO",Base_Original!J137="Nao"),"Não",IF(Base_Original!J137="","vazio",Base_Original!J137)))</f>
        <v>Sim</v>
      </c>
      <c r="R137" s="46">
        <f>IF(ISNUMBER(Base_Original!K137),Base_Original!K137,IF(RIGHT(Base_Original!K137,9)=" batalhas",VALUE(LEFT(Base_Original!K137,LEN(Base_Original!K137)-9)),Base_Original!K137))</f>
        <v>24</v>
      </c>
      <c r="S137" s="42" t="str">
        <f>IF($R137="vazio","vazio",IF($R137&lt;=10,"Baixo",IF($R137&lt;=25,"Médio","Alto")))</f>
        <v>Médio</v>
      </c>
      <c r="T137" s="42" t="str">
        <f>IF(AND($S137="Alto",$Q137="Sim"),"Negada","Aprovada")</f>
        <v>Aprovada</v>
      </c>
      <c r="U137" s="43">
        <v>61500</v>
      </c>
    </row>
    <row r="138" spans="1:21">
      <c r="A138" s="47" t="s">
        <v>992</v>
      </c>
      <c r="B138" s="37" t="str">
        <f>IF(Base_Original!A139="","vazio",IF(Base_Original!A139="ATIVO","Ativo",IF(Base_Original!A139="INATIVO","Inativo",Base_Original!A139)))</f>
        <v>Inativo</v>
      </c>
      <c r="C138" s="37" t="str">
        <f>PROPER(Base_Original!B139)</f>
        <v>Jeor Marbrand</v>
      </c>
      <c r="D138" s="38" t="s">
        <v>349</v>
      </c>
      <c r="E138" s="39" t="str">
        <f>IF($D138="","Vazio",IF(LEN(SUBSTITUTE(SUBSTITUTE($D138&amp;"",".",""),"-",""))&lt;&gt;11,"Inválido","OK"))</f>
        <v>OK</v>
      </c>
      <c r="F138" s="39" t="str">
        <f>IF($D138="","Vazio",IF(COUNTIF($D$2:$D$369,$D138)&gt;1,"Duplicado","Único"))</f>
        <v>Duplicado</v>
      </c>
      <c r="G138" s="40" t="str">
        <f>IF(TRIM(Base_Original!D138)="","",SUBSTITUTE(TRIM(Base_Original!D138),"anos",""))</f>
        <v>63</v>
      </c>
      <c r="H138" s="50">
        <f>IF($J138="","Vazio",DATEDIF($J138,DATE(2026,9,10),"Y"))</f>
        <v>63</v>
      </c>
      <c r="I13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38" s="33">
        <v>22924</v>
      </c>
      <c r="K138" s="42" t="s">
        <v>62</v>
      </c>
      <c r="L138" s="42" t="str">
        <f>PROPER(Base_Original!G139)</f>
        <v>Essos</v>
      </c>
      <c r="M138" s="43">
        <v>29000</v>
      </c>
      <c r="N138" s="43">
        <f>IF(ISNUMBER(Base_Original!I139),Base_Original!I139,IF(RIGHT(Base_Original!I139,7)=" moedas",VALUE(LEFT(Base_Original!I139,LEN(Base_Original!I139)-7)),Base_Original!I139))</f>
        <v>36500</v>
      </c>
      <c r="O138" s="44" t="str">
        <f>IF(AND($N138&gt;50000,$Q138="Sim"),"Negada","Aprovada")</f>
        <v>Aprovada</v>
      </c>
      <c r="P138" s="45" t="str">
        <f>IF(AND($T138="Negada",$O138="Negada"),0,IF($B138="Ativo",$U138*8%,"0"))</f>
        <v>0</v>
      </c>
      <c r="Q138" s="46" t="str">
        <f>IF(OR(Base_Original!J139="Sim",Base_Original!J139="sim",Base_Original!J139="SIM"),"Sim",IF(OR(Base_Original!J139="Não",Base_Original!J139="não",Base_Original!J139="NÃO",Base_Original!J139="Nao"),"Não",IF(Base_Original!J139="","vazio",Base_Original!J139)))</f>
        <v>Não</v>
      </c>
      <c r="R138" s="46">
        <f>IF(ISNUMBER(Base_Original!K139),Base_Original!K139,IF(RIGHT(Base_Original!K139,9)=" batalhas",VALUE(LEFT(Base_Original!K139,LEN(Base_Original!K139)-9)),Base_Original!K139))</f>
        <v>38</v>
      </c>
      <c r="S138" s="42" t="str">
        <f>IF($R138="vazio","vazio",IF($R138&lt;=10,"Baixo",IF($R138&lt;=25,"Médio","Alto")))</f>
        <v>Alto</v>
      </c>
      <c r="T138" s="42" t="str">
        <f>IF(AND($S138="Alto",$Q138="Sim"),"Negada","Aprovada")</f>
        <v>Aprovada</v>
      </c>
      <c r="U138" s="43">
        <v>68000</v>
      </c>
    </row>
    <row r="139" spans="1:21">
      <c r="A139" s="47" t="s">
        <v>993</v>
      </c>
      <c r="B139" s="37" t="str">
        <f>IF(Base_Original!A138="","vazio",IF(Base_Original!A138="ATIVO","Ativo",IF(Base_Original!A138="INATIVO","Inativo",Base_Original!A138)))</f>
        <v>Inativo</v>
      </c>
      <c r="C139" s="37" t="str">
        <f>PROPER(Base_Original!B138)</f>
        <v>Jeor Marbrand</v>
      </c>
      <c r="D139" s="38" t="s">
        <v>349</v>
      </c>
      <c r="E139" s="39" t="str">
        <f>IF($D139="","Vazio",IF(LEN(SUBSTITUTE(SUBSTITUTE($D139&amp;"",".",""),"-",""))&lt;&gt;11,"Inválido","OK"))</f>
        <v>OK</v>
      </c>
      <c r="F139" s="39" t="str">
        <f>IF($D139="","Vazio",IF(COUNTIF($D$2:$D$369,$D139)&gt;1,"Duplicado","Único"))</f>
        <v>Duplicado</v>
      </c>
      <c r="G139" s="40" t="str">
        <f>IF(TRIM(Base_Original!D139)="","",SUBSTITUTE(TRIM(Base_Original!D139),"anos",""))</f>
        <v>63</v>
      </c>
      <c r="H139" s="50">
        <f>IF($J139="","Vazio",DATEDIF($J139,DATE(2026,9,10),"Y"))</f>
        <v>63</v>
      </c>
      <c r="I13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39" s="33">
        <v>22924</v>
      </c>
      <c r="K139" s="42" t="s">
        <v>62</v>
      </c>
      <c r="L139" s="42" t="str">
        <f>PROPER(Base_Original!G138)</f>
        <v>Essos</v>
      </c>
      <c r="M139" s="43">
        <v>29000</v>
      </c>
      <c r="N139" s="43">
        <f>IF(ISNUMBER(Base_Original!I138),Base_Original!I138,IF(RIGHT(Base_Original!I138,7)=" moedas",VALUE(LEFT(Base_Original!I138,LEN(Base_Original!I138)-7)),Base_Original!I138))</f>
        <v>36500</v>
      </c>
      <c r="O139" s="44" t="str">
        <f>IF(AND($N139&gt;50000,$Q139="Sim"),"Negada","Aprovada")</f>
        <v>Aprovada</v>
      </c>
      <c r="P139" s="45" t="str">
        <f>IF(AND($T139="Negada",$O139="Negada"),0,IF($B139="Ativo",$U139*8%,"0"))</f>
        <v>0</v>
      </c>
      <c r="Q139" s="46" t="str">
        <f>IF(OR(Base_Original!J138="Sim",Base_Original!J138="sim",Base_Original!J138="SIM"),"Sim",IF(OR(Base_Original!J138="Não",Base_Original!J138="não",Base_Original!J138="NÃO",Base_Original!J138="Nao"),"Não",IF(Base_Original!J138="","vazio",Base_Original!J138)))</f>
        <v>Não</v>
      </c>
      <c r="R139" s="46">
        <f>IF(ISNUMBER(Base_Original!K138),Base_Original!K138,IF(RIGHT(Base_Original!K138,9)=" batalhas",VALUE(LEFT(Base_Original!K138,LEN(Base_Original!K138)-9)),Base_Original!K138))</f>
        <v>38</v>
      </c>
      <c r="S139" s="42" t="str">
        <f>IF($R139="vazio","vazio",IF($R139&lt;=10,"Baixo",IF($R139&lt;=25,"Médio","Alto")))</f>
        <v>Alto</v>
      </c>
      <c r="T139" s="42" t="str">
        <f>IF(AND($S139="Alto",$Q139="Sim"),"Negada","Aprovada")</f>
        <v>Aprovada</v>
      </c>
      <c r="U139" s="43">
        <v>47000</v>
      </c>
    </row>
    <row r="140" spans="1:21">
      <c r="A140" s="47" t="s">
        <v>994</v>
      </c>
      <c r="B140" s="37" t="str">
        <f>IF(Base_Original!A140="","vazio",IF(Base_Original!A140="ATIVO","Ativo",IF(Base_Original!A140="INATIVO","Inativo",Base_Original!A140)))</f>
        <v>Inativo</v>
      </c>
      <c r="C140" s="37" t="str">
        <f>PROPER(Base_Original!B140)</f>
        <v>Jeor Martell</v>
      </c>
      <c r="D140" s="38" t="s">
        <v>351</v>
      </c>
      <c r="E140" s="39" t="str">
        <f>IF($D140="","Vazio",IF(LEN(SUBSTITUTE(SUBSTITUTE($D140&amp;"",".",""),"-",""))&lt;&gt;11,"Inválido","OK"))</f>
        <v>OK</v>
      </c>
      <c r="F140" s="39" t="str">
        <f>IF($D140="","Vazio",IF(COUNTIF($D$2:$D$369,$D140)&gt;1,"Duplicado","Único"))</f>
        <v>Único</v>
      </c>
      <c r="G140" s="40" t="str">
        <f>IF(TRIM(Base_Original!D140)="","",SUBSTITUTE(TRIM(Base_Original!D140),"anos",""))</f>
        <v>58</v>
      </c>
      <c r="H140" s="50">
        <f>IF($J140="","Vazio",DATEDIF($J140,DATE(2026,9,10),"Y"))</f>
        <v>58</v>
      </c>
      <c r="I14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40" s="33">
        <v>24726</v>
      </c>
      <c r="K140" s="42" t="s">
        <v>30</v>
      </c>
      <c r="L140" s="42" t="str">
        <f>PROPER(Base_Original!G140)</f>
        <v>Essos</v>
      </c>
      <c r="M140" s="43">
        <v>20100</v>
      </c>
      <c r="N140" s="43">
        <f>IF(ISNUMBER(Base_Original!I140),Base_Original!I140,IF(RIGHT(Base_Original!I140,7)=" moedas",VALUE(LEFT(Base_Original!I140,LEN(Base_Original!I140)-7)),Base_Original!I140))</f>
        <v>40000</v>
      </c>
      <c r="O140" s="44" t="str">
        <f>IF(AND($N140&gt;50000,$Q140="Sim"),"Negada","Aprovada")</f>
        <v>Aprovada</v>
      </c>
      <c r="P140" s="45" t="str">
        <f>IF(AND($T140="Negada",$O140="Negada"),0,IF($B140="Ativo",$U140*8%,"0"))</f>
        <v>0</v>
      </c>
      <c r="Q140" s="46" t="str">
        <f>IF(OR(Base_Original!J140="Sim",Base_Original!J140="sim",Base_Original!J140="SIM"),"Sim",IF(OR(Base_Original!J140="Não",Base_Original!J140="não",Base_Original!J140="NÃO",Base_Original!J140="Nao"),"Não",IF(Base_Original!J140="","vazio",Base_Original!J140)))</f>
        <v>Não</v>
      </c>
      <c r="R140" s="46">
        <f>IF(ISNUMBER(Base_Original!K140),Base_Original!K140,IF(RIGHT(Base_Original!K140,9)=" batalhas",VALUE(LEFT(Base_Original!K140,LEN(Base_Original!K140)-9)),Base_Original!K140))</f>
        <v>16</v>
      </c>
      <c r="S140" s="42" t="str">
        <f>IF($R140="vazio","vazio",IF($R140&lt;=10,"Baixo",IF($R140&lt;=25,"Médio","Alto")))</f>
        <v>Médio</v>
      </c>
      <c r="T140" s="42" t="str">
        <f>IF(AND($S140="Alto",$Q140="Sim"),"Negada","Aprovada")</f>
        <v>Aprovada</v>
      </c>
      <c r="U140" s="43">
        <v>98500</v>
      </c>
    </row>
    <row r="141" spans="1:21">
      <c r="A141" s="47" t="s">
        <v>995</v>
      </c>
      <c r="B141" s="37" t="str">
        <f>IF(Base_Original!A141="","vazio",IF(Base_Original!A141="ATIVO","Ativo",IF(Base_Original!A141="INATIVO","Inativo",Base_Original!A141)))</f>
        <v>Ativo</v>
      </c>
      <c r="C141" s="37" t="str">
        <f>PROPER(Base_Original!B141)</f>
        <v>Jojen Dayne</v>
      </c>
      <c r="D141" s="38" t="s">
        <v>354</v>
      </c>
      <c r="E141" s="39" t="str">
        <f>IF($D141="","Vazio",IF(LEN(SUBSTITUTE(SUBSTITUTE($D141&amp;"",".",""),"-",""))&lt;&gt;11,"Inválido","OK"))</f>
        <v>OK</v>
      </c>
      <c r="F141" s="39" t="str">
        <f>IF($D141="","Vazio",IF(COUNTIF($D$2:$D$369,$D141)&gt;1,"Duplicado","Único"))</f>
        <v>Único</v>
      </c>
      <c r="G141" s="40" t="str">
        <f>IF(TRIM(Base_Original!D141)="","",SUBSTITUTE(TRIM(Base_Original!D141),"anos",""))</f>
        <v>69</v>
      </c>
      <c r="H141" s="50" t="s">
        <v>909</v>
      </c>
      <c r="I141" s="51" t="s">
        <v>909</v>
      </c>
      <c r="J141" s="33"/>
      <c r="K141" s="42" t="s">
        <v>37</v>
      </c>
      <c r="L141" s="42" t="str">
        <f>PROPER(Base_Original!G141)</f>
        <v>Terras Da Tempestade</v>
      </c>
      <c r="M141" s="43">
        <v>11400</v>
      </c>
      <c r="N141" s="43">
        <f>IF(ISNUMBER(Base_Original!I141),Base_Original!I141,IF(RIGHT(Base_Original!I141,7)=" moedas",VALUE(LEFT(Base_Original!I141,LEN(Base_Original!I141)-7)),Base_Original!I141))</f>
        <v>0</v>
      </c>
      <c r="O141" s="44" t="str">
        <f>IF(AND($N141&gt;50000,$Q141="Sim"),"Negada","Aprovada")</f>
        <v>Aprovada</v>
      </c>
      <c r="P141" s="45">
        <f>IF(AND($T141="Negada",$O141="Negada"),0,IF($B141="Ativo",$U141*8%,"0"))</f>
        <v>6320</v>
      </c>
      <c r="Q141" s="46" t="str">
        <f>IF(OR(Base_Original!J141="Sim",Base_Original!J141="sim",Base_Original!J141="SIM"),"Sim",IF(OR(Base_Original!J141="Não",Base_Original!J141="não",Base_Original!J141="NÃO",Base_Original!J141="Nao"),"Não",IF(Base_Original!J141="","vazio",Base_Original!J141)))</f>
        <v>Sim</v>
      </c>
      <c r="R141" s="46">
        <f>IF(ISNUMBER(Base_Original!K141),Base_Original!K141,IF(RIGHT(Base_Original!K141,9)=" batalhas",VALUE(LEFT(Base_Original!K141,LEN(Base_Original!K141)-9)),Base_Original!K141))</f>
        <v>13</v>
      </c>
      <c r="S141" s="42" t="str">
        <f>IF($R141="vazio","vazio",IF($R141&lt;=10,"Baixo",IF($R141&lt;=25,"Médio","Alto")))</f>
        <v>Médio</v>
      </c>
      <c r="T141" s="42" t="str">
        <f>IF(AND($S141="Alto",$Q141="Sim"),"Negada","Aprovada")</f>
        <v>Aprovada</v>
      </c>
      <c r="U141" s="43">
        <v>79000</v>
      </c>
    </row>
    <row r="142" spans="1:21">
      <c r="A142" s="47" t="s">
        <v>996</v>
      </c>
      <c r="B142" s="37" t="str">
        <f>IF(Base_Original!A142="","vazio",IF(Base_Original!A142="ATIVO","Ativo",IF(Base_Original!A142="INATIVO","Inativo",Base_Original!A142)))</f>
        <v>Ativo</v>
      </c>
      <c r="C142" s="37" t="str">
        <f>PROPER(Base_Original!B142)</f>
        <v>Jojen Florent</v>
      </c>
      <c r="D142" s="38" t="s">
        <v>356</v>
      </c>
      <c r="E142" s="39" t="str">
        <f>IF($D142="","Vazio",IF(LEN(SUBSTITUTE(SUBSTITUTE($D142&amp;"",".",""),"-",""))&lt;&gt;11,"Inválido","OK"))</f>
        <v>OK</v>
      </c>
      <c r="F142" s="39" t="str">
        <f>IF($D142="","Vazio",IF(COUNTIF($D$2:$D$369,$D142)&gt;1,"Duplicado","Único"))</f>
        <v>Único</v>
      </c>
      <c r="G142" s="40" t="str">
        <f>IF(TRIM(Base_Original!D142)="","",SUBSTITUTE(TRIM(Base_Original!D142),"anos",""))</f>
        <v>32</v>
      </c>
      <c r="H142" s="50">
        <f>IF($J142="","Vazio",DATEDIF($J142,DATE(2026,9,10),"Y"))</f>
        <v>32</v>
      </c>
      <c r="I14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42" s="33">
        <v>34299</v>
      </c>
      <c r="K142" s="42" t="s">
        <v>51</v>
      </c>
      <c r="L142" s="42" t="str">
        <f>PROPER(Base_Original!G143)</f>
        <v/>
      </c>
      <c r="M142" s="43">
        <v>13300</v>
      </c>
      <c r="N142" s="43">
        <f>IF(ISNUMBER(Base_Original!I142),Base_Original!I142,IF(RIGHT(Base_Original!I142,7)=" moedas",VALUE(LEFT(Base_Original!I142,LEN(Base_Original!I142)-7)),Base_Original!I142))</f>
        <v>0</v>
      </c>
      <c r="O142" s="44" t="str">
        <f>IF(AND($N142&gt;50000,$Q142="Sim"),"Negada","Aprovada")</f>
        <v>Aprovada</v>
      </c>
      <c r="P142" s="45">
        <f>IF(AND($T142="Negada",$O142="Negada"),0,IF($B142="Ativo",$U142*8%,"0"))</f>
        <v>5200</v>
      </c>
      <c r="Q142" s="46" t="str">
        <f>IF(OR(Base_Original!J142="Sim",Base_Original!J142="sim",Base_Original!J142="SIM"),"Sim",IF(OR(Base_Original!J142="Não",Base_Original!J142="não",Base_Original!J142="NÃO",Base_Original!J142="Nao"),"Não",IF(Base_Original!J142="","vazio",Base_Original!J142)))</f>
        <v>Não</v>
      </c>
      <c r="R142" s="46">
        <f>IF(ISNUMBER(Base_Original!K142),Base_Original!K142,IF(RIGHT(Base_Original!K142,9)=" batalhas",VALUE(LEFT(Base_Original!K142,LEN(Base_Original!K142)-9)),Base_Original!K142))</f>
        <v>5</v>
      </c>
      <c r="S142" s="42" t="str">
        <f>IF($R142="vazio","vazio",IF($R142&lt;=10,"Baixo",IF($R142&lt;=25,"Médio","Alto")))</f>
        <v>Baixo</v>
      </c>
      <c r="T142" s="42" t="str">
        <f>IF(AND($S142="Alto",$Q142="Sim"),"Negada","Aprovada")</f>
        <v>Aprovada</v>
      </c>
      <c r="U142" s="43">
        <v>65000</v>
      </c>
    </row>
    <row r="143" spans="1:21">
      <c r="A143" s="47" t="s">
        <v>997</v>
      </c>
      <c r="B143" s="37" t="str">
        <f>IF(Base_Original!A143="","vazio",IF(Base_Original!A143="ATIVO","Ativo",IF(Base_Original!A143="INATIVO","Inativo",Base_Original!A143)))</f>
        <v>Ativo</v>
      </c>
      <c r="C143" s="37" t="str">
        <f>PROPER(Base_Original!B143)</f>
        <v>Jojen Florent</v>
      </c>
      <c r="D143" s="38">
        <v>34300</v>
      </c>
      <c r="E143" s="39" t="str">
        <f>IF($D143="","Vazio",IF(LEN(SUBSTITUTE(SUBSTITUTE($D143&amp;"",".",""),"-",""))&lt;&gt;11,"Inválido","OK"))</f>
        <v>Inválido</v>
      </c>
      <c r="F143" s="39" t="str">
        <f>IF($D143="","Vazio",IF(COUNTIF($D$2:$D$369,$D143)&gt;1,"Duplicado","Único"))</f>
        <v>Único</v>
      </c>
      <c r="G143" s="40" t="str">
        <f>IF(TRIM(Base_Original!D143)="","",SUBSTITUTE(TRIM(Base_Original!D143),"anos",""))</f>
        <v>48</v>
      </c>
      <c r="H143" s="50">
        <f>IF($J143="","Vazio",DATEDIF($J143,DATE(2026,9,10),"Y"))</f>
        <v>48</v>
      </c>
      <c r="I14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43" s="33">
        <v>28408</v>
      </c>
      <c r="K143" s="42" t="s">
        <v>242</v>
      </c>
      <c r="L143" s="42" t="str">
        <f>PROPER(Base_Original!G142)</f>
        <v>Vale</v>
      </c>
      <c r="M143" s="43">
        <v>30000</v>
      </c>
      <c r="N143" s="43" t="s">
        <v>880</v>
      </c>
      <c r="O143" s="44" t="str">
        <f>IF(AND($N143&gt;50000,$Q143="Sim"),"Negada","Aprovada")</f>
        <v>Negada</v>
      </c>
      <c r="P143" s="45">
        <f>IF(AND($T143="Negada",$O143="Negada"),0,IF($B143="Ativo",$U143*8%,"0"))</f>
        <v>0</v>
      </c>
      <c r="Q143" s="46" t="str">
        <f>IF(OR(Base_Original!J143="Sim",Base_Original!J143="sim",Base_Original!J143="SIM"),"Sim",IF(OR(Base_Original!J143="Não",Base_Original!J143="não",Base_Original!J143="NÃO",Base_Original!J143="Nao"),"Não",IF(Base_Original!J143="","vazio",Base_Original!J143)))</f>
        <v>Sim</v>
      </c>
      <c r="R143" s="46">
        <f>IF(ISNUMBER(Base_Original!K143),Base_Original!K143,IF(RIGHT(Base_Original!K143,9)=" batalhas",VALUE(LEFT(Base_Original!K143,LEN(Base_Original!K143)-9)),Base_Original!K143))</f>
        <v>27</v>
      </c>
      <c r="S143" s="42" t="str">
        <f>IF($R143="vazio","vazio",IF($R143&lt;=10,"Baixo",IF($R143&lt;=25,"Médio","Alto")))</f>
        <v>Alto</v>
      </c>
      <c r="T143" s="42" t="str">
        <f>IF(AND($S143="Alto",$Q143="Sim"),"Negada","Aprovada")</f>
        <v>Negada</v>
      </c>
      <c r="U143" s="43">
        <v>40000</v>
      </c>
    </row>
    <row r="144" spans="1:21">
      <c r="A144" s="47" t="s">
        <v>998</v>
      </c>
      <c r="B144" s="37" t="str">
        <f>IF(Base_Original!A144="","vazio",IF(Base_Original!A144="ATIVO","Ativo",IF(Base_Original!A144="INATIVO","Inativo",Base_Original!A144)))</f>
        <v>Ativo</v>
      </c>
      <c r="C144" s="37" t="str">
        <f>PROPER(Base_Original!B144)</f>
        <v>Jojen Hornwood</v>
      </c>
      <c r="D144" s="38" t="s">
        <v>358</v>
      </c>
      <c r="E144" s="39" t="str">
        <f>IF($D144="","Vazio",IF(LEN(SUBSTITUTE(SUBSTITUTE($D144&amp;"",".",""),"-",""))&lt;&gt;11,"Inválido","OK"))</f>
        <v>OK</v>
      </c>
      <c r="F144" s="39" t="str">
        <f>IF($D144="","Vazio",IF(COUNTIF($D$2:$D$369,$D144)&gt;1,"Duplicado","Único"))</f>
        <v>Único</v>
      </c>
      <c r="G144" s="40" t="str">
        <f>IF(TRIM(Base_Original!D144)="","",SUBSTITUTE(TRIM(Base_Original!D144),"anos",""))</f>
        <v/>
      </c>
      <c r="H144" s="50">
        <f>IF($J144="","Vazio",DATEDIF($J144,DATE(2026,9,10),"Y"))</f>
        <v>36</v>
      </c>
      <c r="I14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144" s="33">
        <v>32796</v>
      </c>
      <c r="K144" s="42" t="s">
        <v>69</v>
      </c>
      <c r="L144" s="42" t="str">
        <f>PROPER(Base_Original!G144)</f>
        <v>Terras Da Coroa</v>
      </c>
      <c r="M144" s="43">
        <v>28600</v>
      </c>
      <c r="N144" s="43" t="s">
        <v>880</v>
      </c>
      <c r="O144" s="44" t="str">
        <f>IF(AND($N144&gt;50000,$Q144="Sim"),"Negada","Aprovada")</f>
        <v>Aprovada</v>
      </c>
      <c r="P144" s="45">
        <f>IF(AND($T144="Negada",$O144="Negada"),0,IF($B144="Ativo",$U144*8%,"0"))</f>
        <v>7200</v>
      </c>
      <c r="Q144" s="46" t="str">
        <f>IF(OR(Base_Original!J144="Sim",Base_Original!J144="sim",Base_Original!J144="SIM"),"Sim",IF(OR(Base_Original!J144="Não",Base_Original!J144="não",Base_Original!J144="NÃO",Base_Original!J144="Nao"),"Não",IF(Base_Original!J144="","vazio",Base_Original!J144)))</f>
        <v>Não</v>
      </c>
      <c r="R144" s="46">
        <f>IF(ISNUMBER(Base_Original!K144),Base_Original!K144,IF(RIGHT(Base_Original!K144,9)=" batalhas",VALUE(LEFT(Base_Original!K144,LEN(Base_Original!K144)-9)),Base_Original!K144))</f>
        <v>19</v>
      </c>
      <c r="S144" s="42" t="str">
        <f>IF($R144="vazio","vazio",IF($R144&lt;=10,"Baixo",IF($R144&lt;=25,"Médio","Alto")))</f>
        <v>Médio</v>
      </c>
      <c r="T144" s="42" t="str">
        <f>IF(AND($S144="Alto",$Q144="Sim"),"Negada","Aprovada")</f>
        <v>Aprovada</v>
      </c>
      <c r="U144" s="43">
        <v>90000</v>
      </c>
    </row>
    <row r="145" spans="1:21">
      <c r="A145" s="47" t="s">
        <v>999</v>
      </c>
      <c r="B145" s="37" t="str">
        <f>IF(Base_Original!A145="","vazio",IF(Base_Original!A145="ATIVO","Ativo",IF(Base_Original!A145="INATIVO","Inativo",Base_Original!A145)))</f>
        <v>Ativo</v>
      </c>
      <c r="C145" s="37" t="str">
        <f>PROPER(Base_Original!B145)</f>
        <v>Jojen Redwyne</v>
      </c>
      <c r="D145" s="38" t="s">
        <v>360</v>
      </c>
      <c r="E145" s="39" t="str">
        <f>IF($D145="","Vazio",IF(LEN(SUBSTITUTE(SUBSTITUTE($D145&amp;"",".",""),"-",""))&lt;&gt;11,"Inválido","OK"))</f>
        <v>OK</v>
      </c>
      <c r="F145" s="39" t="str">
        <f>IF($D145="","Vazio",IF(COUNTIF($D$2:$D$369,$D145)&gt;1,"Duplicado","Único"))</f>
        <v>Único</v>
      </c>
      <c r="G145" s="40" t="str">
        <f>IF(TRIM(Base_Original!D145)="","",SUBSTITUTE(TRIM(Base_Original!D145),"anos",""))</f>
        <v xml:space="preserve">24 </v>
      </c>
      <c r="H145" s="50">
        <f>IF($J145="","Vazio",DATEDIF($J145,DATE(2026,9,10),"Y"))</f>
        <v>24</v>
      </c>
      <c r="I14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45" s="33">
        <v>37491</v>
      </c>
      <c r="K145" s="42" t="s">
        <v>34</v>
      </c>
      <c r="L145" s="42" t="str">
        <f>PROPER(Base_Original!G145)</f>
        <v>Dorne</v>
      </c>
      <c r="M145" s="43">
        <v>8900</v>
      </c>
      <c r="N145" s="43">
        <f>IF(ISNUMBER(Base_Original!I145),Base_Original!I145,IF(RIGHT(Base_Original!I145,7)=" moedas",VALUE(LEFT(Base_Original!I145,LEN(Base_Original!I145)-7)),Base_Original!I145))</f>
        <v>19500</v>
      </c>
      <c r="O145" s="44" t="str">
        <f>IF(AND($N145&gt;50000,$Q145="Sim"),"Negada","Aprovada")</f>
        <v>Aprovada</v>
      </c>
      <c r="P145" s="45">
        <f>IF(AND($T145="Negada",$O145="Negada"),0,IF($B145="Ativo",$U145*8%,"0"))</f>
        <v>7720</v>
      </c>
      <c r="Q145" s="46" t="str">
        <f>IF(OR(Base_Original!J145="Sim",Base_Original!J145="sim",Base_Original!J145="SIM"),"Sim",IF(OR(Base_Original!J145="Não",Base_Original!J145="não",Base_Original!J145="NÃO",Base_Original!J145="Nao"),"Não",IF(Base_Original!J145="","vazio",Base_Original!J145)))</f>
        <v>Sim</v>
      </c>
      <c r="R145" s="46">
        <f>IF(ISNUMBER(Base_Original!K145),Base_Original!K145,IF(RIGHT(Base_Original!K145,9)=" batalhas",VALUE(LEFT(Base_Original!K145,LEN(Base_Original!K145)-9)),Base_Original!K145))</f>
        <v>33</v>
      </c>
      <c r="S145" s="42" t="str">
        <f>IF($R145="vazio","vazio",IF($R145&lt;=10,"Baixo",IF($R145&lt;=25,"Médio","Alto")))</f>
        <v>Alto</v>
      </c>
      <c r="T145" s="42" t="str">
        <f>IF(AND($S145="Alto",$Q145="Sim"),"Negada","Aprovada")</f>
        <v>Negada</v>
      </c>
      <c r="U145" s="43">
        <v>96500</v>
      </c>
    </row>
    <row r="146" spans="1:21">
      <c r="A146" s="47" t="s">
        <v>1000</v>
      </c>
      <c r="B146" s="37" t="str">
        <f>IF(Base_Original!A146="","vazio",IF(Base_Original!A146="ATIVO","Ativo",IF(Base_Original!A146="INATIVO","Inativo",Base_Original!A146)))</f>
        <v>Ativo</v>
      </c>
      <c r="C146" s="37" t="str">
        <f>PROPER(Base_Original!B146)</f>
        <v>Jojen Reed</v>
      </c>
      <c r="D146" s="38" t="s">
        <v>363</v>
      </c>
      <c r="E146" s="39" t="str">
        <f>IF($D146="","Vazio",IF(LEN(SUBSTITUTE(SUBSTITUTE($D146&amp;"",".",""),"-",""))&lt;&gt;11,"Inválido","OK"))</f>
        <v>OK</v>
      </c>
      <c r="F146" s="39" t="str">
        <f>IF($D146="","Vazio",IF(COUNTIF($D$2:$D$369,$D146)&gt;1,"Duplicado","Único"))</f>
        <v>Único</v>
      </c>
      <c r="G146" s="40" t="str">
        <f>IF(TRIM(Base_Original!D146)="","",SUBSTITUTE(TRIM(Base_Original!D146),"anos",""))</f>
        <v>41</v>
      </c>
      <c r="H146" s="50">
        <f>IF($J146="","Vazio",DATEDIF($J146,DATE(2026,9,10),"Y"))</f>
        <v>41</v>
      </c>
      <c r="I14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46" s="33">
        <v>30944</v>
      </c>
      <c r="K146" s="42" t="s">
        <v>180</v>
      </c>
      <c r="L146" s="42" t="str">
        <f>PROPER(Base_Original!G146)</f>
        <v>Terras Da Tempestade</v>
      </c>
      <c r="M146" s="43">
        <v>20000</v>
      </c>
      <c r="N146" s="43">
        <f>IF(ISNUMBER(Base_Original!I146),Base_Original!I146,IF(RIGHT(Base_Original!I146,7)=" moedas",VALUE(LEFT(Base_Original!I146,LEN(Base_Original!I146)-7)),Base_Original!I146))</f>
        <v>20500</v>
      </c>
      <c r="O146" s="44" t="str">
        <f>IF(AND($N146&gt;50000,$Q146="Sim"),"Negada","Aprovada")</f>
        <v>Aprovada</v>
      </c>
      <c r="P146" s="45">
        <f>IF(AND($T146="Negada",$O146="Negada"),0,IF($B146="Ativo",$U146*8%,"0"))</f>
        <v>3520</v>
      </c>
      <c r="Q146" s="46" t="str">
        <f>IF(OR(Base_Original!J146="Sim",Base_Original!J146="sim",Base_Original!J146="SIM"),"Sim",IF(OR(Base_Original!J146="Não",Base_Original!J146="não",Base_Original!J146="NÃO",Base_Original!J146="Nao"),"Não",IF(Base_Original!J146="","vazio",Base_Original!J146)))</f>
        <v>Sim</v>
      </c>
      <c r="R146" s="46">
        <f>IF(ISNUMBER(Base_Original!K146),Base_Original!K146,IF(RIGHT(Base_Original!K146,9)=" batalhas",VALUE(LEFT(Base_Original!K146,LEN(Base_Original!K146)-9)),Base_Original!K146))</f>
        <v>8</v>
      </c>
      <c r="S146" s="42" t="str">
        <f>IF($R146="vazio","vazio",IF($R146&lt;=10,"Baixo",IF($R146&lt;=25,"Médio","Alto")))</f>
        <v>Baixo</v>
      </c>
      <c r="T146" s="42" t="str">
        <f>IF(AND($S146="Alto",$Q146="Sim"),"Negada","Aprovada")</f>
        <v>Aprovada</v>
      </c>
      <c r="U146" s="43">
        <v>44000</v>
      </c>
    </row>
    <row r="147" spans="1:21">
      <c r="A147" s="47" t="s">
        <v>1001</v>
      </c>
      <c r="B147" s="37" t="str">
        <f>IF(Base_Original!A147="","vazio",IF(Base_Original!A147="ATIVO","Ativo",IF(Base_Original!A147="INATIVO","Inativo",Base_Original!A147)))</f>
        <v>Ativo</v>
      </c>
      <c r="C147" s="37" t="str">
        <f>PROPER(Base_Original!B147)</f>
        <v>Jon  Karstark</v>
      </c>
      <c r="D147" s="38" t="s">
        <v>366</v>
      </c>
      <c r="E147" s="39" t="str">
        <f>IF($D147="","Vazio",IF(LEN(SUBSTITUTE(SUBSTITUTE($D147&amp;"",".",""),"-",""))&lt;&gt;11,"Inválido","OK"))</f>
        <v>OK</v>
      </c>
      <c r="F147" s="39" t="str">
        <f>IF($D147="","Vazio",IF(COUNTIF($D$2:$D$369,$D147)&gt;1,"Duplicado","Único"))</f>
        <v>Único</v>
      </c>
      <c r="G147" s="40" t="str">
        <f>IF(TRIM(Base_Original!D147)="","",SUBSTITUTE(TRIM(Base_Original!D147),"anos",""))</f>
        <v xml:space="preserve">55 </v>
      </c>
      <c r="H147" s="50">
        <f>IF($J147="","Vazio",DATEDIF($J147,DATE(2026,9,10),"Y"))</f>
        <v>55</v>
      </c>
      <c r="I14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47" s="33">
        <v>26161</v>
      </c>
      <c r="K147" s="42" t="s">
        <v>20</v>
      </c>
      <c r="L147" s="42" t="str">
        <f>PROPER(Base_Original!G147)</f>
        <v/>
      </c>
      <c r="M147" s="43">
        <v>12200</v>
      </c>
      <c r="N147" s="43">
        <f>IF(ISNUMBER(Base_Original!I147),Base_Original!I147,IF(RIGHT(Base_Original!I147,7)=" moedas",VALUE(LEFT(Base_Original!I147,LEN(Base_Original!I147)-7)),Base_Original!I147))</f>
        <v>70500</v>
      </c>
      <c r="O147" s="44" t="str">
        <f>IF(AND($N147&gt;50000,$Q147="Sim"),"Negada","Aprovada")</f>
        <v>Aprovada</v>
      </c>
      <c r="P147" s="45">
        <f>IF(AND($T147="Negada",$O147="Negada"),0,IF($B147="Ativo",$U147*8%,"0"))</f>
        <v>6240</v>
      </c>
      <c r="Q147" s="46" t="str">
        <f>IF(OR(Base_Original!J147="Sim",Base_Original!J147="sim",Base_Original!J147="SIM"),"Sim",IF(OR(Base_Original!J147="Não",Base_Original!J147="não",Base_Original!J147="NÃO",Base_Original!J147="Nao"),"Não",IF(Base_Original!J147="","vazio",Base_Original!J147)))</f>
        <v>Não</v>
      </c>
      <c r="R147" s="46">
        <f>IF(ISNUMBER(Base_Original!K147),Base_Original!K147,IF(RIGHT(Base_Original!K147,9)=" batalhas",VALUE(LEFT(Base_Original!K147,LEN(Base_Original!K147)-9)),Base_Original!K147))</f>
        <v>33</v>
      </c>
      <c r="S147" s="42" t="str">
        <f>IF($R147="vazio","vazio",IF($R147&lt;=10,"Baixo",IF($R147&lt;=25,"Médio","Alto")))</f>
        <v>Alto</v>
      </c>
      <c r="T147" s="42" t="str">
        <f>IF(AND($S147="Alto",$Q147="Sim"),"Negada","Aprovada")</f>
        <v>Aprovada</v>
      </c>
      <c r="U147" s="43">
        <v>78000</v>
      </c>
    </row>
    <row r="148" spans="1:21">
      <c r="A148" s="47" t="s">
        <v>1002</v>
      </c>
      <c r="B148" s="37" t="str">
        <f>IF(Base_Original!A148="","vazio",IF(Base_Original!A148="ATIVO","Ativo",IF(Base_Original!A148="INATIVO","Inativo",Base_Original!A148)))</f>
        <v>Ativo</v>
      </c>
      <c r="C148" s="37" t="str">
        <f>PROPER(Base_Original!B148)</f>
        <v>Jon Baelish</v>
      </c>
      <c r="D148" s="38">
        <v>21400</v>
      </c>
      <c r="E148" s="39" t="str">
        <f>IF($D148="","Vazio",IF(LEN(SUBSTITUTE(SUBSTITUTE($D148&amp;"",".",""),"-",""))&lt;&gt;11,"Inválido","OK"))</f>
        <v>Inválido</v>
      </c>
      <c r="F148" s="39" t="str">
        <f>IF($D148="","Vazio",IF(COUNTIF($D$2:$D$369,$D148)&gt;1,"Duplicado","Único"))</f>
        <v>Único</v>
      </c>
      <c r="G148" s="40" t="str">
        <f>IF(TRIM(Base_Original!D148)="","",SUBSTITUTE(TRIM(Base_Original!D148),"anos",""))</f>
        <v>67</v>
      </c>
      <c r="H148" s="50">
        <f>IF($J148="","Vazio",DATEDIF($J148,DATE(2026,9,10),"Y"))</f>
        <v>67</v>
      </c>
      <c r="I14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48" s="33">
        <v>21689</v>
      </c>
      <c r="K148" s="42" t="s">
        <v>30</v>
      </c>
      <c r="L148" s="42" t="str">
        <f>PROPER(Base_Original!G148)</f>
        <v>Essos</v>
      </c>
      <c r="M148" s="43">
        <v>10700</v>
      </c>
      <c r="N148" s="43">
        <f>IF(ISNUMBER(Base_Original!I148),Base_Original!I148,IF(RIGHT(Base_Original!I148,7)=" moedas",VALUE(LEFT(Base_Original!I148,LEN(Base_Original!I148)-7)),Base_Original!I148))</f>
        <v>9000</v>
      </c>
      <c r="O148" s="44" t="str">
        <f>IF(AND($N148&gt;50000,$Q148="Sim"),"Negada","Aprovada")</f>
        <v>Aprovada</v>
      </c>
      <c r="P148" s="45">
        <f>IF(AND($T148="Negada",$O148="Negada"),0,IF($B148="Ativo",$U148*8%,"0"))</f>
        <v>4240</v>
      </c>
      <c r="Q148" s="46" t="str">
        <f>IF(OR(Base_Original!J148="Sim",Base_Original!J148="sim",Base_Original!J148="SIM"),"Sim",IF(OR(Base_Original!J148="Não",Base_Original!J148="não",Base_Original!J148="NÃO",Base_Original!J148="Nao"),"Não",IF(Base_Original!J148="","vazio",Base_Original!J148)))</f>
        <v>Não</v>
      </c>
      <c r="R148" s="46">
        <f>IF(ISNUMBER(Base_Original!K148),Base_Original!K148,IF(RIGHT(Base_Original!K148,9)=" batalhas",VALUE(LEFT(Base_Original!K148,LEN(Base_Original!K148)-9)),Base_Original!K148))</f>
        <v>37</v>
      </c>
      <c r="S148" s="42" t="str">
        <f>IF($R148="vazio","vazio",IF($R148&lt;=10,"Baixo",IF($R148&lt;=25,"Médio","Alto")))</f>
        <v>Alto</v>
      </c>
      <c r="T148" s="42" t="str">
        <f>IF(AND($S148="Alto",$Q148="Sim"),"Negada","Aprovada")</f>
        <v>Aprovada</v>
      </c>
      <c r="U148" s="43">
        <v>53000</v>
      </c>
    </row>
    <row r="149" spans="1:21">
      <c r="A149" s="47" t="s">
        <v>1003</v>
      </c>
      <c r="B149" s="37" t="str">
        <f>IF(Base_Original!A149="","vazio",IF(Base_Original!A149="ATIVO","Ativo",IF(Base_Original!A149="INATIVO","Inativo",Base_Original!A149)))</f>
        <v>Ativo</v>
      </c>
      <c r="C149" s="37" t="str">
        <f>PROPER(Base_Original!B149)</f>
        <v>Jon Bolton</v>
      </c>
      <c r="D149" s="38" t="s">
        <v>371</v>
      </c>
      <c r="E149" s="39" t="str">
        <f>IF($D149="","Vazio",IF(LEN(SUBSTITUTE(SUBSTITUTE($D149&amp;"",".",""),"-",""))&lt;&gt;11,"Inválido","OK"))</f>
        <v>OK</v>
      </c>
      <c r="F149" s="39" t="str">
        <f>IF($D149="","Vazio",IF(COUNTIF($D$2:$D$369,$D149)&gt;1,"Duplicado","Único"))</f>
        <v>Único</v>
      </c>
      <c r="G149" s="40" t="str">
        <f>IF(TRIM(Base_Original!D149)="","",SUBSTITUTE(TRIM(Base_Original!D149),"anos",""))</f>
        <v>65</v>
      </c>
      <c r="H149" s="50">
        <f>IF($J149="","Vazio",DATEDIF($J149,DATE(2026,9,10),"Y"))</f>
        <v>65</v>
      </c>
      <c r="I14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49" s="33">
        <v>22297</v>
      </c>
      <c r="K149" s="42" t="s">
        <v>91</v>
      </c>
      <c r="L149" s="42" t="str">
        <f>PROPER(Base_Original!G149)</f>
        <v>Oeste</v>
      </c>
      <c r="M149" s="43">
        <v>27300</v>
      </c>
      <c r="N149" s="43">
        <f>IF(ISNUMBER(Base_Original!I149),Base_Original!I149,IF(RIGHT(Base_Original!I149,7)=" moedas",VALUE(LEFT(Base_Original!I149,LEN(Base_Original!I149)-7)),Base_Original!I149))</f>
        <v>48500</v>
      </c>
      <c r="O149" s="44" t="str">
        <f>IF(AND($N149&gt;50000,$Q149="Sim"),"Negada","Aprovada")</f>
        <v>Aprovada</v>
      </c>
      <c r="P149" s="45">
        <f>IF(AND($T149="Negada",$O149="Negada"),0,IF($B149="Ativo",$U149*8%,"0"))</f>
        <v>7520</v>
      </c>
      <c r="Q149" s="46" t="str">
        <f>IF(OR(Base_Original!J149="Sim",Base_Original!J149="sim",Base_Original!J149="SIM"),"Sim",IF(OR(Base_Original!J149="Não",Base_Original!J149="não",Base_Original!J149="NÃO",Base_Original!J149="Nao"),"Não",IF(Base_Original!J149="","vazio",Base_Original!J149)))</f>
        <v>Não</v>
      </c>
      <c r="R149" s="46">
        <f>IF(ISNUMBER(Base_Original!K149),Base_Original!K149,IF(RIGHT(Base_Original!K149,9)=" batalhas",VALUE(LEFT(Base_Original!K149,LEN(Base_Original!K149)-9)),Base_Original!K149))</f>
        <v>29</v>
      </c>
      <c r="S149" s="42" t="str">
        <f>IF($R149="vazio","vazio",IF($R149&lt;=10,"Baixo",IF($R149&lt;=25,"Médio","Alto")))</f>
        <v>Alto</v>
      </c>
      <c r="T149" s="42" t="str">
        <f>IF(AND($S149="Alto",$Q149="Sim"),"Negada","Aprovada")</f>
        <v>Aprovada</v>
      </c>
      <c r="U149" s="43">
        <v>94000</v>
      </c>
    </row>
    <row r="150" spans="1:21">
      <c r="A150" s="47" t="s">
        <v>1004</v>
      </c>
      <c r="B150" s="37" t="str">
        <f>IF(Base_Original!A150="","vazio",IF(Base_Original!A150="ATIVO","Ativo",IF(Base_Original!A150="INATIVO","Inativo",Base_Original!A150)))</f>
        <v>Ativo</v>
      </c>
      <c r="C150" s="37" t="str">
        <f>PROPER(Base_Original!B150)</f>
        <v>Jon Cerwyn</v>
      </c>
      <c r="D150" s="38" t="s">
        <v>373</v>
      </c>
      <c r="E150" s="39" t="str">
        <f>IF($D150="","Vazio",IF(LEN(SUBSTITUTE(SUBSTITUTE($D150&amp;"",".",""),"-",""))&lt;&gt;11,"Inválido","OK"))</f>
        <v>OK</v>
      </c>
      <c r="F150" s="39" t="str">
        <f>IF($D150="","Vazio",IF(COUNTIF($D$2:$D$369,$D150)&gt;1,"Duplicado","Único"))</f>
        <v>Único</v>
      </c>
      <c r="G150" s="40" t="str">
        <f>IF(TRIM(Base_Original!D150)="","",SUBSTITUTE(TRIM(Base_Original!D150),"anos",""))</f>
        <v>65</v>
      </c>
      <c r="H150" s="50">
        <f>IF($J150="","Vazio",DATEDIF($J150,DATE(2026,9,10),"Y"))</f>
        <v>65</v>
      </c>
      <c r="I15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50" s="33">
        <v>22314</v>
      </c>
      <c r="K150" s="42" t="s">
        <v>180</v>
      </c>
      <c r="L150" s="42" t="str">
        <f>PROPER(Base_Original!G150)</f>
        <v>Terras Da Tempestade</v>
      </c>
      <c r="M150" s="43">
        <v>6100</v>
      </c>
      <c r="N150" s="43">
        <f>IF(ISNUMBER(Base_Original!I150),Base_Original!I150,IF(RIGHT(Base_Original!I150,7)=" moedas",VALUE(LEFT(Base_Original!I150,LEN(Base_Original!I150)-7)),Base_Original!I150))</f>
        <v>40000</v>
      </c>
      <c r="O150" s="44" t="str">
        <f>IF(AND($N150&gt;50000,$Q150="Sim"),"Negada","Aprovada")</f>
        <v>Aprovada</v>
      </c>
      <c r="P150" s="45">
        <f>IF(AND($T150="Negada",$O150="Negada"),0,IF($B150="Ativo",$U150*8%,"0"))</f>
        <v>1800</v>
      </c>
      <c r="Q150" s="46" t="str">
        <f>IF(OR(Base_Original!J150="Sim",Base_Original!J150="sim",Base_Original!J150="SIM"),"Sim",IF(OR(Base_Original!J150="Não",Base_Original!J150="não",Base_Original!J150="NÃO",Base_Original!J150="Nao"),"Não",IF(Base_Original!J150="","vazio",Base_Original!J150)))</f>
        <v>Não</v>
      </c>
      <c r="R150" s="46">
        <f>IF(ISNUMBER(Base_Original!K150),Base_Original!K150,IF(RIGHT(Base_Original!K150,9)=" batalhas",VALUE(LEFT(Base_Original!K150,LEN(Base_Original!K150)-9)),Base_Original!K150))</f>
        <v>13</v>
      </c>
      <c r="S150" s="42" t="str">
        <f>IF($R150="vazio","vazio",IF($R150&lt;=10,"Baixo",IF($R150&lt;=25,"Médio","Alto")))</f>
        <v>Médio</v>
      </c>
      <c r="T150" s="42" t="str">
        <f>IF(AND($S150="Alto",$Q150="Sim"),"Negada","Aprovada")</f>
        <v>Aprovada</v>
      </c>
      <c r="U150" s="43">
        <v>22500</v>
      </c>
    </row>
    <row r="151" spans="1:21">
      <c r="A151" s="47" t="s">
        <v>1005</v>
      </c>
      <c r="B151" s="37" t="str">
        <f>IF(Base_Original!A151="","vazio",IF(Base_Original!A151="ATIVO","Ativo",IF(Base_Original!A151="INATIVO","Inativo",Base_Original!A151)))</f>
        <v>Ativo</v>
      </c>
      <c r="C151" s="37" t="str">
        <f>PROPER(Base_Original!B151)</f>
        <v>Jon Dayne</v>
      </c>
      <c r="D151" s="38">
        <v>31900</v>
      </c>
      <c r="E151" s="39" t="str">
        <f>IF($D151="","Vazio",IF(LEN(SUBSTITUTE(SUBSTITUTE($D151&amp;"",".",""),"-",""))&lt;&gt;11,"Inválido","OK"))</f>
        <v>Inválido</v>
      </c>
      <c r="F151" s="39" t="str">
        <f>IF($D151="","Vazio",IF(COUNTIF($D$2:$D$369,$D151)&gt;1,"Duplicado","Único"))</f>
        <v>Único</v>
      </c>
      <c r="G151" s="40" t="str">
        <f>IF(TRIM(Base_Original!D151)="","",SUBSTITUTE(TRIM(Base_Original!D151),"anos",""))</f>
        <v>20</v>
      </c>
      <c r="H151" s="50">
        <f>IF($J151="","Vazio",DATEDIF($J151,DATE(2026,9,10),"Y"))</f>
        <v>20</v>
      </c>
      <c r="I15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51" s="33">
        <v>38678</v>
      </c>
      <c r="K151" s="42" t="s">
        <v>62</v>
      </c>
      <c r="L151" s="42" t="str">
        <f>PROPER(Base_Original!G151)</f>
        <v>Essos</v>
      </c>
      <c r="M151" s="43">
        <v>9300</v>
      </c>
      <c r="N151" s="43">
        <f>IF(ISNUMBER(Base_Original!I151),Base_Original!I151,IF(RIGHT(Base_Original!I151,7)=" moedas",VALUE(LEFT(Base_Original!I151,LEN(Base_Original!I151)-7)),Base_Original!I151))</f>
        <v>35000</v>
      </c>
      <c r="O151" s="44" t="str">
        <f>IF(AND($N151&gt;50000,$Q151="Sim"),"Negada","Aprovada")</f>
        <v>Aprovada</v>
      </c>
      <c r="P151" s="45">
        <f>IF(AND($T151="Negada",$O151="Negada"),0,IF($B151="Ativo",$U151*8%,"0"))</f>
        <v>840</v>
      </c>
      <c r="Q151" s="46" t="str">
        <f>IF(OR(Base_Original!J151="Sim",Base_Original!J151="sim",Base_Original!J151="SIM"),"Sim",IF(OR(Base_Original!J151="Não",Base_Original!J151="não",Base_Original!J151="NÃO",Base_Original!J151="Nao"),"Não",IF(Base_Original!J151="","vazio",Base_Original!J151)))</f>
        <v>Não</v>
      </c>
      <c r="R151" s="46">
        <f>IF(ISNUMBER(Base_Original!K151),Base_Original!K151,IF(RIGHT(Base_Original!K151,9)=" batalhas",VALUE(LEFT(Base_Original!K151,LEN(Base_Original!K151)-9)),Base_Original!K151))</f>
        <v>5</v>
      </c>
      <c r="S151" s="42" t="str">
        <f>IF($R151="vazio","vazio",IF($R151&lt;=10,"Baixo",IF($R151&lt;=25,"Médio","Alto")))</f>
        <v>Baixo</v>
      </c>
      <c r="T151" s="42" t="str">
        <f>IF(AND($S151="Alto",$Q151="Sim"),"Negada","Aprovada")</f>
        <v>Aprovada</v>
      </c>
      <c r="U151" s="43">
        <v>10500</v>
      </c>
    </row>
    <row r="152" spans="1:21">
      <c r="A152" s="47" t="s">
        <v>1006</v>
      </c>
      <c r="B152" s="37" t="str">
        <f>IF(Base_Original!A152="","vazio",IF(Base_Original!A152="ATIVO","Ativo",IF(Base_Original!A152="INATIVO","Inativo",Base_Original!A152)))</f>
        <v>Ativoo</v>
      </c>
      <c r="C152" s="37" t="str">
        <f>PROPER(Base_Original!B152)</f>
        <v>Jon Hightower</v>
      </c>
      <c r="D152" s="38" t="s">
        <v>377</v>
      </c>
      <c r="E152" s="39" t="str">
        <f>IF($D152="","Vazio",IF(LEN(SUBSTITUTE(SUBSTITUTE($D152&amp;"",".",""),"-",""))&lt;&gt;11,"Inválido","OK"))</f>
        <v>OK</v>
      </c>
      <c r="F152" s="39" t="str">
        <f>IF($D152="","Vazio",IF(COUNTIF($D$2:$D$369,$D152)&gt;1,"Duplicado","Único"))</f>
        <v>Único</v>
      </c>
      <c r="G152" s="40" t="str">
        <f>IF(TRIM(Base_Original!D152)="","",SUBSTITUTE(TRIM(Base_Original!D152),"anos",""))</f>
        <v>59</v>
      </c>
      <c r="H152" s="50">
        <f>IF($J152="","Vazio",DATEDIF($J152,DATE(2026,9,10),"Y"))</f>
        <v>59</v>
      </c>
      <c r="I15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52" s="33">
        <v>24362</v>
      </c>
      <c r="K152" s="42" t="s">
        <v>242</v>
      </c>
      <c r="L152" s="42" t="str">
        <f>PROPER(Base_Original!G152)</f>
        <v>Norte</v>
      </c>
      <c r="M152" s="43">
        <v>18900</v>
      </c>
      <c r="N152" s="43">
        <f>IF(ISNUMBER(Base_Original!I152),Base_Original!I152,IF(RIGHT(Base_Original!I152,7)=" moedas",VALUE(LEFT(Base_Original!I152,LEN(Base_Original!I152)-7)),Base_Original!I152))</f>
        <v>1000</v>
      </c>
      <c r="O152" s="44" t="str">
        <f>IF(AND($N152&gt;50000,$Q152="Sim"),"Negada","Aprovada")</f>
        <v>Aprovada</v>
      </c>
      <c r="P152" s="45" t="str">
        <f>IF(AND($T152="Negada",$O152="Negada"),0,IF($B152="Ativo",$U152*8%,"0"))</f>
        <v>0</v>
      </c>
      <c r="Q152" s="46" t="str">
        <f>IF(OR(Base_Original!J152="Sim",Base_Original!J152="sim",Base_Original!J152="SIM"),"Sim",IF(OR(Base_Original!J152="Não",Base_Original!J152="não",Base_Original!J152="NÃO",Base_Original!J152="Nao"),"Não",IF(Base_Original!J152="","vazio",Base_Original!J152)))</f>
        <v>Sim</v>
      </c>
      <c r="R152" s="46">
        <f>IF(ISNUMBER(Base_Original!K152),Base_Original!K152,IF(RIGHT(Base_Original!K152,9)=" batalhas",VALUE(LEFT(Base_Original!K152,LEN(Base_Original!K152)-9)),Base_Original!K152))</f>
        <v>42</v>
      </c>
      <c r="S152" s="42" t="str">
        <f>IF($R152="vazio","vazio",IF($R152&lt;=10,"Baixo",IF($R152&lt;=25,"Médio","Alto")))</f>
        <v>Alto</v>
      </c>
      <c r="T152" s="42" t="str">
        <f>IF(AND($S152="Alto",$Q152="Sim"),"Negada","Aprovada")</f>
        <v>Negada</v>
      </c>
      <c r="U152" s="43">
        <v>16500</v>
      </c>
    </row>
    <row r="153" spans="1:21">
      <c r="A153" s="47" t="s">
        <v>1007</v>
      </c>
      <c r="B153" s="37" t="str">
        <f>IF(Base_Original!A154="","vazio",IF(Base_Original!A154="ATIVO","Ativo",IF(Base_Original!A154="INATIVO","Inativo",Base_Original!A154)))</f>
        <v>Ativoo</v>
      </c>
      <c r="C153" s="37" t="str">
        <f>PROPER(Base_Original!B154)</f>
        <v>Jon Hornwood</v>
      </c>
      <c r="D153" s="38">
        <v>33100</v>
      </c>
      <c r="E153" s="39" t="str">
        <f>IF($D153="","Vazio",IF(LEN(SUBSTITUTE(SUBSTITUTE($D153&amp;"",".",""),"-",""))&lt;&gt;11,"Inválido","OK"))</f>
        <v>Inválido</v>
      </c>
      <c r="F153" s="39" t="str">
        <f>IF($D153="","Vazio",IF(COUNTIF($D$2:$D$369,$D153)&gt;1,"Duplicado","Único"))</f>
        <v>Duplicado</v>
      </c>
      <c r="G153" s="40" t="str">
        <f>IF(TRIM(Base_Original!D153)="","",SUBSTITUTE(TRIM(Base_Original!D153),"anos",""))</f>
        <v/>
      </c>
      <c r="H153" s="50">
        <f>IF($J153="","Vazio",DATEDIF($J153,DATE(2026,9,10),"Y"))</f>
        <v>26</v>
      </c>
      <c r="I15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153" s="33">
        <v>36759</v>
      </c>
      <c r="K153" s="42" t="s">
        <v>34</v>
      </c>
      <c r="L153" s="42" t="str">
        <f>PROPER(Base_Original!G154)</f>
        <v>Dorne</v>
      </c>
      <c r="M153" s="43">
        <v>23200</v>
      </c>
      <c r="N153" s="43">
        <f>IF(ISNUMBER(Base_Original!I154),Base_Original!I154,IF(RIGHT(Base_Original!I154,7)=" moedas",VALUE(LEFT(Base_Original!I154,LEN(Base_Original!I154)-7)),Base_Original!I154))</f>
        <v>54500</v>
      </c>
      <c r="O153" s="44" t="str">
        <f>IF(AND($N153&gt;50000,$Q153="Sim"),"Negada","Aprovada")</f>
        <v>Aprovada</v>
      </c>
      <c r="P153" s="45" t="str">
        <f>IF(AND($T153="Negada",$O153="Negada"),0,IF($B153="Ativo",$U153*8%,"0"))</f>
        <v>0</v>
      </c>
      <c r="Q153" s="46">
        <f>IF(OR(Base_Original!J154="Sim",Base_Original!J154="sim",Base_Original!J154="SIM"),"Sim",IF(OR(Base_Original!J154="Não",Base_Original!J154="não",Base_Original!J154="NÃO",Base_Original!J154="Nao"),"Não",IF(Base_Original!J154="","vazio",Base_Original!J154)))</f>
        <v>1</v>
      </c>
      <c r="R153" s="46">
        <f>IF(ISNUMBER(Base_Original!K154),Base_Original!K154,IF(RIGHT(Base_Original!K154,9)=" batalhas",VALUE(LEFT(Base_Original!K154,LEN(Base_Original!K154)-9)),Base_Original!K154))</f>
        <v>26</v>
      </c>
      <c r="S153" s="42" t="str">
        <f>IF($R153="vazio","vazio",IF($R153&lt;=10,"Baixo",IF($R153&lt;=25,"Médio","Alto")))</f>
        <v>Alto</v>
      </c>
      <c r="T153" s="42" t="str">
        <f>IF(AND($S153="Alto",$Q153="Sim"),"Negada","Aprovada")</f>
        <v>Aprovada</v>
      </c>
      <c r="U153" s="43">
        <v>39500</v>
      </c>
    </row>
    <row r="154" spans="1:21">
      <c r="A154" s="47" t="s">
        <v>1008</v>
      </c>
      <c r="B154" s="37" t="str">
        <f>IF(Base_Original!A153="","vazio",IF(Base_Original!A153="ATIVO","Ativo",IF(Base_Original!A153="INATIVO","Inativo",Base_Original!A153)))</f>
        <v>Ativoo</v>
      </c>
      <c r="C154" s="37" t="str">
        <f>PROPER(Base_Original!B153)</f>
        <v>Jon Hornwood</v>
      </c>
      <c r="D154" s="38">
        <v>33100</v>
      </c>
      <c r="E154" s="39" t="str">
        <f>IF($D154="","Vazio",IF(LEN(SUBSTITUTE(SUBSTITUTE($D154&amp;"",".",""),"-",""))&lt;&gt;11,"Inválido","OK"))</f>
        <v>Inválido</v>
      </c>
      <c r="F154" s="39" t="str">
        <f>IF($D154="","Vazio",IF(COUNTIF($D$2:$D$369,$D154)&gt;1,"Duplicado","Único"))</f>
        <v>Duplicado</v>
      </c>
      <c r="G154" s="40" t="str">
        <f>IF(TRIM(Base_Original!D154)="","",SUBSTITUTE(TRIM(Base_Original!D154),"anos",""))</f>
        <v/>
      </c>
      <c r="H154" s="50">
        <f>IF($J154="","Vazio",DATEDIF($J154,DATE(2026,9,10),"Y"))</f>
        <v>26</v>
      </c>
      <c r="I15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154" s="33">
        <v>36759</v>
      </c>
      <c r="K154" s="42" t="s">
        <v>34</v>
      </c>
      <c r="L154" s="42" t="str">
        <f>PROPER(Base_Original!G153)</f>
        <v>Dorne</v>
      </c>
      <c r="M154" s="43">
        <v>23200</v>
      </c>
      <c r="N154" s="43">
        <f>IF(ISNUMBER(Base_Original!I153),Base_Original!I153,IF(RIGHT(Base_Original!I153,7)=" moedas",VALUE(LEFT(Base_Original!I153,LEN(Base_Original!I153)-7)),Base_Original!I153))</f>
        <v>54500</v>
      </c>
      <c r="O154" s="44" t="str">
        <f>IF(AND($N154&gt;50000,$Q154="Sim"),"Negada","Aprovada")</f>
        <v>Aprovada</v>
      </c>
      <c r="P154" s="45" t="str">
        <f>IF(AND($T154="Negada",$O154="Negada"),0,IF($B154="Ativo",$U154*8%,"0"))</f>
        <v>0</v>
      </c>
      <c r="Q154" s="46">
        <f>IF(OR(Base_Original!J153="Sim",Base_Original!J153="sim",Base_Original!J153="SIM"),"Sim",IF(OR(Base_Original!J153="Não",Base_Original!J153="não",Base_Original!J153="NÃO",Base_Original!J153="Nao"),"Não",IF(Base_Original!J153="","vazio",Base_Original!J153)))</f>
        <v>1</v>
      </c>
      <c r="R154" s="46">
        <f>IF(ISNUMBER(Base_Original!K153),Base_Original!K153,IF(RIGHT(Base_Original!K153,9)=" batalhas",VALUE(LEFT(Base_Original!K153,LEN(Base_Original!K153)-9)),Base_Original!K153))</f>
        <v>26</v>
      </c>
      <c r="S154" s="42" t="str">
        <f>IF($R154="vazio","vazio",IF($R154&lt;=10,"Baixo",IF($R154&lt;=25,"Médio","Alto")))</f>
        <v>Alto</v>
      </c>
      <c r="T154" s="42" t="str">
        <f>IF(AND($S154="Alto",$Q154="Sim"),"Negada","Aprovada")</f>
        <v>Aprovada</v>
      </c>
      <c r="U154" s="43">
        <v>75000</v>
      </c>
    </row>
    <row r="155" spans="1:21">
      <c r="A155" s="47" t="s">
        <v>1009</v>
      </c>
      <c r="B155" s="37" t="str">
        <f>IF(Base_Original!A155="","vazio",IF(Base_Original!A155="ATIVO","Ativo",IF(Base_Original!A155="INATIVO","Inativo",Base_Original!A155)))</f>
        <v>Ativo</v>
      </c>
      <c r="C155" s="37" t="str">
        <f>PROPER(Base_Original!B155)</f>
        <v>Jon Marbrand</v>
      </c>
      <c r="D155" s="38" t="s">
        <v>380</v>
      </c>
      <c r="E155" s="39" t="str">
        <f>IF($D155="","Vazio",IF(LEN(SUBSTITUTE(SUBSTITUTE($D155&amp;"",".",""),"-",""))&lt;&gt;11,"Inválido","OK"))</f>
        <v>OK</v>
      </c>
      <c r="F155" s="39" t="str">
        <f>IF($D155="","Vazio",IF(COUNTIF($D$2:$D$369,$D155)&gt;1,"Duplicado","Único"))</f>
        <v>Único</v>
      </c>
      <c r="G155" s="40" t="str">
        <f>IF(TRIM(Base_Original!D155)="","",SUBSTITUTE(TRIM(Base_Original!D155),"anos",""))</f>
        <v>29</v>
      </c>
      <c r="H155" s="50">
        <f>IF($J155="","Vazio",DATEDIF($J155,DATE(2026,9,10),"Y"))</f>
        <v>29</v>
      </c>
      <c r="I15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55" s="33">
        <v>35600</v>
      </c>
      <c r="K155" s="42" t="s">
        <v>104</v>
      </c>
      <c r="L155" s="42" t="str">
        <f>PROPER(Base_Original!G155)</f>
        <v>Terras Da Coroa</v>
      </c>
      <c r="M155" s="43">
        <v>10000</v>
      </c>
      <c r="N155" s="43">
        <f>IF(ISNUMBER(Base_Original!I155),Base_Original!I155,IF(RIGHT(Base_Original!I155,7)=" moedas",VALUE(LEFT(Base_Original!I155,LEN(Base_Original!I155)-7)),Base_Original!I155))</f>
        <v>25500</v>
      </c>
      <c r="O155" s="44" t="str">
        <f>IF(AND($N155&gt;50000,$Q155="Sim"),"Negada","Aprovada")</f>
        <v>Aprovada</v>
      </c>
      <c r="P155" s="45">
        <f>IF(AND($T155="Negada",$O155="Negada"),0,IF($B155="Ativo",$U155*8%,"0"))</f>
        <v>5280</v>
      </c>
      <c r="Q155" s="46" t="str">
        <f>IF(OR(Base_Original!J155="Sim",Base_Original!J155="sim",Base_Original!J155="SIM"),"Sim",IF(OR(Base_Original!J155="Não",Base_Original!J155="não",Base_Original!J155="NÃO",Base_Original!J155="Nao"),"Não",IF(Base_Original!J155="","vazio",Base_Original!J155)))</f>
        <v>Não</v>
      </c>
      <c r="R155" s="46">
        <f>IF(ISNUMBER(Base_Original!K155),Base_Original!K155,IF(RIGHT(Base_Original!K155,9)=" batalhas",VALUE(LEFT(Base_Original!K155,LEN(Base_Original!K155)-9)),Base_Original!K155))</f>
        <v>15</v>
      </c>
      <c r="S155" s="42" t="str">
        <f>IF($R155="vazio","vazio",IF($R155&lt;=10,"Baixo",IF($R155&lt;=25,"Médio","Alto")))</f>
        <v>Médio</v>
      </c>
      <c r="T155" s="42" t="str">
        <f>IF(AND($S155="Alto",$Q155="Sim"),"Negada","Aprovada")</f>
        <v>Aprovada</v>
      </c>
      <c r="U155" s="43">
        <v>66000</v>
      </c>
    </row>
    <row r="156" spans="1:21">
      <c r="A156" s="47" t="s">
        <v>1010</v>
      </c>
      <c r="B156" s="37" t="str">
        <f>IF(Base_Original!A157="","vazio",IF(Base_Original!A157="ATIVO","Ativo",IF(Base_Original!A157="INATIVO","Inativo",Base_Original!A157)))</f>
        <v>Ativo</v>
      </c>
      <c r="C156" s="37" t="str">
        <f>PROPER(Base_Original!B157)</f>
        <v>Jon Tarth</v>
      </c>
      <c r="D156" s="38" t="s">
        <v>382</v>
      </c>
      <c r="E156" s="39" t="str">
        <f>IF($D156="","Vazio",IF(LEN(SUBSTITUTE(SUBSTITUTE($D156&amp;"",".",""),"-",""))&lt;&gt;11,"Inválido","OK"))</f>
        <v>OK</v>
      </c>
      <c r="F156" s="39" t="str">
        <f>IF($D156="","Vazio",IF(COUNTIF($D$2:$D$369,$D156)&gt;1,"Duplicado","Único"))</f>
        <v>Único</v>
      </c>
      <c r="G156" s="40" t="str">
        <f>IF(TRIM(Base_Original!D156)="","",SUBSTITUTE(TRIM(Base_Original!D156),"anos",""))</f>
        <v>26</v>
      </c>
      <c r="H156" s="50">
        <f>IF($J156="","Vazio",DATEDIF($J156,DATE(2026,9,10),"Y"))</f>
        <v>26</v>
      </c>
      <c r="I15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56" s="33">
        <v>36671</v>
      </c>
      <c r="K156" s="42" t="s">
        <v>180</v>
      </c>
      <c r="L156" s="42" t="str">
        <f>PROPER(Base_Original!G157)</f>
        <v>Terras Da Tempestade</v>
      </c>
      <c r="M156" s="43">
        <v>25000</v>
      </c>
      <c r="N156" s="43">
        <f>IF(ISNUMBER(Base_Original!I157),Base_Original!I157,IF(RIGHT(Base_Original!I157,7)=" moedas",VALUE(LEFT(Base_Original!I157,LEN(Base_Original!I157)-7)),Base_Original!I157))</f>
        <v>0</v>
      </c>
      <c r="O156" s="44" t="str">
        <f>IF(AND($N156&gt;50000,$Q156="Sim"),"Negada","Aprovada")</f>
        <v>Aprovada</v>
      </c>
      <c r="P156" s="45">
        <f>IF(AND($T156="Negada",$O156="Negada"),0,IF($B156="Ativo",$U156*8%,"0"))</f>
        <v>840</v>
      </c>
      <c r="Q156" s="46" t="str">
        <f>IF(OR(Base_Original!J157="Sim",Base_Original!J157="sim",Base_Original!J157="SIM"),"Sim",IF(OR(Base_Original!J157="Não",Base_Original!J157="não",Base_Original!J157="NÃO",Base_Original!J157="Nao"),"Não",IF(Base_Original!J157="","vazio",Base_Original!J157)))</f>
        <v>Não</v>
      </c>
      <c r="R156" s="46">
        <f>IF(ISNUMBER(Base_Original!K157),Base_Original!K157,IF(RIGHT(Base_Original!K157,9)=" batalhas",VALUE(LEFT(Base_Original!K157,LEN(Base_Original!K157)-9)),Base_Original!K157))</f>
        <v>24</v>
      </c>
      <c r="S156" s="42" t="str">
        <f>IF($R156="vazio","vazio",IF($R156&lt;=10,"Baixo",IF($R156&lt;=25,"Médio","Alto")))</f>
        <v>Médio</v>
      </c>
      <c r="T156" s="42" t="str">
        <f>IF(AND($S156="Alto",$Q156="Sim"),"Negada","Aprovada")</f>
        <v>Aprovada</v>
      </c>
      <c r="U156" s="43">
        <v>10500</v>
      </c>
    </row>
    <row r="157" spans="1:21">
      <c r="A157" s="47" t="s">
        <v>1011</v>
      </c>
      <c r="B157" s="37" t="str">
        <f>IF(Base_Original!A156="","vazio",IF(Base_Original!A156="ATIVO","Ativo",IF(Base_Original!A156="INATIVO","Inativo",Base_Original!A156)))</f>
        <v>Ativo</v>
      </c>
      <c r="C157" s="37" t="str">
        <f>PROPER(Base_Original!B156)</f>
        <v>Jon Tarth</v>
      </c>
      <c r="D157" s="38" t="s">
        <v>383</v>
      </c>
      <c r="E157" s="39" t="str">
        <f>IF($D157="","Vazio",IF(LEN(SUBSTITUTE(SUBSTITUTE($D157&amp;"",".",""),"-",""))&lt;&gt;11,"Inválido","OK"))</f>
        <v>OK</v>
      </c>
      <c r="F157" s="39" t="str">
        <f>IF($D157="","Vazio",IF(COUNTIF($D$2:$D$369,$D157)&gt;1,"Duplicado","Único"))</f>
        <v>Único</v>
      </c>
      <c r="G157" s="40" t="str">
        <f>IF(TRIM(Base_Original!D157)="","",SUBSTITUTE(TRIM(Base_Original!D157),"anos",""))</f>
        <v>52</v>
      </c>
      <c r="H157" s="50">
        <f>IF($J157="","Vazio",DATEDIF($J157,DATE(2026,9,10),"Y"))</f>
        <v>52</v>
      </c>
      <c r="I15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57" s="33">
        <v>27088</v>
      </c>
      <c r="K157" s="42" t="s">
        <v>180</v>
      </c>
      <c r="L157" s="42" t="str">
        <f>PROPER(Base_Original!G156)</f>
        <v>Terras Da Tempestade</v>
      </c>
      <c r="M157" s="43">
        <v>24900</v>
      </c>
      <c r="N157" s="43">
        <f>IF(ISNUMBER(Base_Original!I156),Base_Original!I156,IF(RIGHT(Base_Original!I156,7)=" moedas",VALUE(LEFT(Base_Original!I156,LEN(Base_Original!I156)-7)),Base_Original!I156))</f>
        <v>1000</v>
      </c>
      <c r="O157" s="44" t="str">
        <f>IF(AND($N157&gt;50000,$Q157="Sim"),"Negada","Aprovada")</f>
        <v>Aprovada</v>
      </c>
      <c r="P157" s="45">
        <f>IF(AND($T157="Negada",$O157="Negada"),0,IF($B157="Ativo",$U157*8%,"0"))</f>
        <v>1280</v>
      </c>
      <c r="Q157" s="46" t="str">
        <f>IF(OR(Base_Original!J156="Sim",Base_Original!J156="sim",Base_Original!J156="SIM"),"Sim",IF(OR(Base_Original!J156="Não",Base_Original!J156="não",Base_Original!J156="NÃO",Base_Original!J156="Nao"),"Não",IF(Base_Original!J156="","vazio",Base_Original!J156)))</f>
        <v>Não</v>
      </c>
      <c r="R157" s="46">
        <f>IF(ISNUMBER(Base_Original!K156),Base_Original!K156,IF(RIGHT(Base_Original!K156,9)=" batalhas",VALUE(LEFT(Base_Original!K156,LEN(Base_Original!K156)-9)),Base_Original!K156))</f>
        <v>16</v>
      </c>
      <c r="S157" s="42" t="str">
        <f>IF($R157="vazio","vazio",IF($R157&lt;=10,"Baixo",IF($R157&lt;=25,"Médio","Alto")))</f>
        <v>Médio</v>
      </c>
      <c r="T157" s="42" t="str">
        <f>IF(AND($S157="Alto",$Q157="Sim"),"Negada","Aprovada")</f>
        <v>Aprovada</v>
      </c>
      <c r="U157" s="43">
        <v>16000</v>
      </c>
    </row>
    <row r="158" spans="1:21">
      <c r="A158" s="47" t="s">
        <v>1012</v>
      </c>
      <c r="B158" s="37" t="str">
        <f>IF(Base_Original!A158="","vazio",IF(Base_Original!A158="ATIVO","Ativo",IF(Base_Original!A158="INATIVO","Inativo",Base_Original!A158)))</f>
        <v>Inativo</v>
      </c>
      <c r="C158" s="37" t="str">
        <f>PROPER(Base_Original!B158)</f>
        <v>Jorah  Tyrell</v>
      </c>
      <c r="D158" s="38" t="s">
        <v>386</v>
      </c>
      <c r="E158" s="39" t="str">
        <f>IF($D158="","Vazio",IF(LEN(SUBSTITUTE(SUBSTITUTE($D158&amp;"",".",""),"-",""))&lt;&gt;11,"Inválido","OK"))</f>
        <v>OK</v>
      </c>
      <c r="F158" s="39" t="str">
        <f>IF($D158="","Vazio",IF(COUNTIF($D$2:$D$369,$D158)&gt;1,"Duplicado","Único"))</f>
        <v>Único</v>
      </c>
      <c r="G158" s="40" t="str">
        <f>IF(TRIM(Base_Original!D158)="","",SUBSTITUTE(TRIM(Base_Original!D158),"anos",""))</f>
        <v>48</v>
      </c>
      <c r="H158" s="50">
        <f>IF($J158="","Vazio",DATEDIF($J158,DATE(2026,9,10),"Y"))</f>
        <v>48</v>
      </c>
      <c r="I15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58" s="33">
        <v>28737</v>
      </c>
      <c r="K158" s="42" t="s">
        <v>104</v>
      </c>
      <c r="L158" s="42" t="str">
        <f>PROPER(Base_Original!G158)</f>
        <v>Terras Da Coroa</v>
      </c>
      <c r="M158" s="43">
        <v>12400</v>
      </c>
      <c r="N158" s="43">
        <f>IF(ISNUMBER(Base_Original!I158),Base_Original!I158,IF(RIGHT(Base_Original!I158,7)=" moedas",VALUE(LEFT(Base_Original!I158,LEN(Base_Original!I158)-7)),Base_Original!I158))</f>
        <v>0</v>
      </c>
      <c r="O158" s="44" t="str">
        <f>IF(AND($N158&gt;50000,$Q158="Sim"),"Negada","Aprovada")</f>
        <v>Aprovada</v>
      </c>
      <c r="P158" s="45" t="str">
        <f>IF(AND($T158="Negada",$O158="Negada"),0,IF($B158="Ativo",$U158*8%,"0"))</f>
        <v>0</v>
      </c>
      <c r="Q158" s="46" t="str">
        <f>IF(OR(Base_Original!J158="Sim",Base_Original!J158="sim",Base_Original!J158="SIM"),"Sim",IF(OR(Base_Original!J158="Não",Base_Original!J158="não",Base_Original!J158="NÃO",Base_Original!J158="Nao"),"Não",IF(Base_Original!J158="","vazio",Base_Original!J158)))</f>
        <v>Não</v>
      </c>
      <c r="R158" s="46">
        <f>IF(ISNUMBER(Base_Original!K158),Base_Original!K158,IF(RIGHT(Base_Original!K158,9)=" batalhas",VALUE(LEFT(Base_Original!K158,LEN(Base_Original!K158)-9)),Base_Original!K158))</f>
        <v>25</v>
      </c>
      <c r="S158" s="42" t="str">
        <f>IF($R158="vazio","vazio",IF($R158&lt;=10,"Baixo",IF($R158&lt;=25,"Médio","Alto")))</f>
        <v>Médio</v>
      </c>
      <c r="T158" s="42" t="str">
        <f>IF(AND($S158="Alto",$Q158="Sim"),"Negada","Aprovada")</f>
        <v>Aprovada</v>
      </c>
      <c r="U158" s="43">
        <v>65500</v>
      </c>
    </row>
    <row r="159" spans="1:21">
      <c r="A159" s="47" t="s">
        <v>1013</v>
      </c>
      <c r="B159" s="37" t="str">
        <f>IF(Base_Original!A159="","vazio",IF(Base_Original!A159="ATIVO","Ativo",IF(Base_Original!A159="INATIVO","Inativo",Base_Original!A159)))</f>
        <v>Inativo</v>
      </c>
      <c r="C159" s="37" t="str">
        <f>PROPER(Base_Original!B159)</f>
        <v>Jorah Dondarrion</v>
      </c>
      <c r="D159" s="38" t="s">
        <v>388</v>
      </c>
      <c r="E159" s="39" t="str">
        <f>IF($D159="","Vazio",IF(LEN(SUBSTITUTE(SUBSTITUTE($D159&amp;"",".",""),"-",""))&lt;&gt;11,"Inválido","OK"))</f>
        <v>OK</v>
      </c>
      <c r="F159" s="39" t="str">
        <f>IF($D159="","Vazio",IF(COUNTIF($D$2:$D$369,$D159)&gt;1,"Duplicado","Único"))</f>
        <v>Único</v>
      </c>
      <c r="G159" s="40" t="str">
        <f>IF(TRIM(Base_Original!D159)="","",SUBSTITUTE(TRIM(Base_Original!D159),"anos",""))</f>
        <v>39</v>
      </c>
      <c r="H159" s="50">
        <f>IF($J159="","Vazio",DATEDIF($J159,DATE(2026,9,10),"Y"))</f>
        <v>39</v>
      </c>
      <c r="I15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59" s="33">
        <v>31693</v>
      </c>
      <c r="K159" s="42" t="s">
        <v>91</v>
      </c>
      <c r="L159" s="42" t="str">
        <f>PROPER(Base_Original!G160)</f>
        <v/>
      </c>
      <c r="M159" s="43">
        <v>10400</v>
      </c>
      <c r="N159" s="43">
        <f>IF(ISNUMBER(Base_Original!I159),Base_Original!I159,IF(RIGHT(Base_Original!I159,7)=" moedas",VALUE(LEFT(Base_Original!I159,LEN(Base_Original!I159)-7)),Base_Original!I159))</f>
        <v>0</v>
      </c>
      <c r="O159" s="44" t="str">
        <f>IF(AND($N159&gt;50000,$Q159="Sim"),"Negada","Aprovada")</f>
        <v>Aprovada</v>
      </c>
      <c r="P159" s="45" t="str">
        <f>IF(AND($T159="Negada",$O159="Negada"),0,IF($B159="Ativo",$U159*8%,"0"))</f>
        <v>0</v>
      </c>
      <c r="Q159" s="46" t="str">
        <f>IF(OR(Base_Original!J159="Sim",Base_Original!J159="sim",Base_Original!J159="SIM"),"Sim",IF(OR(Base_Original!J159="Não",Base_Original!J159="não",Base_Original!J159="NÃO",Base_Original!J159="Nao"),"Não",IF(Base_Original!J159="","vazio",Base_Original!J159)))</f>
        <v>Sim</v>
      </c>
      <c r="R159" s="46">
        <f>IF(ISNUMBER(Base_Original!K159),Base_Original!K159,IF(RIGHT(Base_Original!K159,9)=" batalhas",VALUE(LEFT(Base_Original!K159,LEN(Base_Original!K159)-9)),Base_Original!K159))</f>
        <v>3</v>
      </c>
      <c r="S159" s="42" t="str">
        <f>IF($R159="vazio","vazio",IF($R159&lt;=10,"Baixo",IF($R159&lt;=25,"Médio","Alto")))</f>
        <v>Baixo</v>
      </c>
      <c r="T159" s="42" t="str">
        <f>IF(AND($S159="Alto",$Q159="Sim"),"Negada","Aprovada")</f>
        <v>Aprovada</v>
      </c>
      <c r="U159" s="43">
        <v>7000</v>
      </c>
    </row>
    <row r="160" spans="1:21">
      <c r="A160" s="47" t="s">
        <v>1014</v>
      </c>
      <c r="B160" s="37" t="str">
        <f>IF(Base_Original!A160="","vazio",IF(Base_Original!A160="ATIVO","Ativo",IF(Base_Original!A160="INATIVO","Inativo",Base_Original!A160)))</f>
        <v>Ativo</v>
      </c>
      <c r="C160" s="37" t="str">
        <f>PROPER(Base_Original!B160)</f>
        <v>Jorah Dondarrion</v>
      </c>
      <c r="D160" s="38" t="s">
        <v>389</v>
      </c>
      <c r="E160" s="39" t="str">
        <f>IF($D160="","Vazio",IF(LEN(SUBSTITUTE(SUBSTITUTE($D160&amp;"",".",""),"-",""))&lt;&gt;11,"Inválido","OK"))</f>
        <v>OK</v>
      </c>
      <c r="F160" s="39" t="str">
        <f>IF($D160="","Vazio",IF(COUNTIF($D$2:$D$369,$D160)&gt;1,"Duplicado","Único"))</f>
        <v>Único</v>
      </c>
      <c r="G160" s="40" t="str">
        <f>IF(TRIM(Base_Original!D160)="","",SUBSTITUTE(TRIM(Base_Original!D160),"anos",""))</f>
        <v>63</v>
      </c>
      <c r="H160" s="50">
        <f>IF($J160="","Vazio",DATEDIF($J160,DATE(2026,9,10),"Y"))</f>
        <v>63</v>
      </c>
      <c r="I16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60" s="33">
        <v>23156</v>
      </c>
      <c r="K160" s="42" t="s">
        <v>135</v>
      </c>
      <c r="L160" s="42" t="str">
        <f>PROPER(Base_Original!G159)</f>
        <v>Oeste</v>
      </c>
      <c r="M160" s="43">
        <v>22200</v>
      </c>
      <c r="N160" s="43">
        <f>IF(ISNUMBER(Base_Original!I160),Base_Original!I160,IF(RIGHT(Base_Original!I160,7)=" moedas",VALUE(LEFT(Base_Original!I160,LEN(Base_Original!I160)-7)),Base_Original!I160))</f>
        <v>8500</v>
      </c>
      <c r="O160" s="44" t="str">
        <f>IF(AND($N160&gt;50000,$Q160="Sim"),"Negada","Aprovada")</f>
        <v>Aprovada</v>
      </c>
      <c r="P160" s="45">
        <f>IF(AND($T160="Negada",$O160="Negada"),0,IF($B160="Ativo",$U160*8%,"0"))</f>
        <v>2920</v>
      </c>
      <c r="Q160" s="46" t="str">
        <f>IF(OR(Base_Original!J160="Sim",Base_Original!J160="sim",Base_Original!J160="SIM"),"Sim",IF(OR(Base_Original!J160="Não",Base_Original!J160="não",Base_Original!J160="NÃO",Base_Original!J160="Nao"),"Não",IF(Base_Original!J160="","vazio",Base_Original!J160)))</f>
        <v>Não</v>
      </c>
      <c r="R160" s="46">
        <f>IF(ISNUMBER(Base_Original!K160),Base_Original!K160,IF(RIGHT(Base_Original!K160,9)=" batalhas",VALUE(LEFT(Base_Original!K160,LEN(Base_Original!K160)-9)),Base_Original!K160))</f>
        <v>39</v>
      </c>
      <c r="S160" s="42" t="str">
        <f>IF($R160="vazio","vazio",IF($R160&lt;=10,"Baixo",IF($R160&lt;=25,"Médio","Alto")))</f>
        <v>Alto</v>
      </c>
      <c r="T160" s="42" t="str">
        <f>IF(AND($S160="Alto",$Q160="Sim"),"Negada","Aprovada")</f>
        <v>Aprovada</v>
      </c>
      <c r="U160" s="43">
        <v>36500</v>
      </c>
    </row>
    <row r="161" spans="1:21">
      <c r="A161" s="47" t="s">
        <v>1015</v>
      </c>
      <c r="B161" s="37" t="str">
        <f>IF(Base_Original!A161="","vazio",IF(Base_Original!A161="ATIVO","Ativo",IF(Base_Original!A161="INATIVO","Inativo",Base_Original!A161)))</f>
        <v>Ativo</v>
      </c>
      <c r="C161" s="37" t="str">
        <f>PROPER(Base_Original!B161)</f>
        <v>Jorah Florent</v>
      </c>
      <c r="D161" s="38" t="s">
        <v>392</v>
      </c>
      <c r="E161" s="39" t="str">
        <f>IF($D161="","Vazio",IF(LEN(SUBSTITUTE(SUBSTITUTE($D161&amp;"",".",""),"-",""))&lt;&gt;11,"Inválido","OK"))</f>
        <v>OK</v>
      </c>
      <c r="F161" s="39" t="str">
        <f>IF($D161="","Vazio",IF(COUNTIF($D$2:$D$369,$D161)&gt;1,"Duplicado","Único"))</f>
        <v>Único</v>
      </c>
      <c r="G161" s="40" t="str">
        <f>IF(TRIM(Base_Original!D161)="","",SUBSTITUTE(TRIM(Base_Original!D161),"anos",""))</f>
        <v>49</v>
      </c>
      <c r="H161" s="50">
        <f>IF($J161="","Vazio",DATEDIF($J161,DATE(2026,9,10),"Y"))</f>
        <v>49</v>
      </c>
      <c r="I16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61" s="33">
        <v>28147</v>
      </c>
      <c r="K161" s="42" t="s">
        <v>104</v>
      </c>
      <c r="L161" s="42" t="str">
        <f>PROPER(Base_Original!G161)</f>
        <v>Terras Da Coroa</v>
      </c>
      <c r="M161" s="43">
        <v>28400</v>
      </c>
      <c r="N161" s="43">
        <f>IF(ISNUMBER(Base_Original!I161),Base_Original!I161,IF(RIGHT(Base_Original!I161,7)=" moedas",VALUE(LEFT(Base_Original!I161,LEN(Base_Original!I161)-7)),Base_Original!I161))</f>
        <v>38500</v>
      </c>
      <c r="O161" s="44" t="str">
        <f>IF(AND($N161&gt;50000,$Q161="Sim"),"Negada","Aprovada")</f>
        <v>Aprovada</v>
      </c>
      <c r="P161" s="45">
        <f>IF(AND($T161="Negada",$O161="Negada"),0,IF($B161="Ativo",$U161*8%,"0"))</f>
        <v>4080</v>
      </c>
      <c r="Q161" s="46" t="str">
        <f>IF(OR(Base_Original!J161="Sim",Base_Original!J161="sim",Base_Original!J161="SIM"),"Sim",IF(OR(Base_Original!J161="Não",Base_Original!J161="não",Base_Original!J161="NÃO",Base_Original!J161="Nao"),"Não",IF(Base_Original!J161="","vazio",Base_Original!J161)))</f>
        <v>Não</v>
      </c>
      <c r="R161" s="46">
        <f>IF(ISNUMBER(Base_Original!K161),Base_Original!K161,IF(RIGHT(Base_Original!K161,9)=" batalhas",VALUE(LEFT(Base_Original!K161,LEN(Base_Original!K161)-9)),Base_Original!K161))</f>
        <v>26</v>
      </c>
      <c r="S161" s="42" t="str">
        <f>IF($R161="vazio","vazio",IF($R161&lt;=10,"Baixo",IF($R161&lt;=25,"Médio","Alto")))</f>
        <v>Alto</v>
      </c>
      <c r="T161" s="42" t="str">
        <f>IF(AND($S161="Alto",$Q161="Sim"),"Negada","Aprovada")</f>
        <v>Aprovada</v>
      </c>
      <c r="U161" s="43">
        <v>51000</v>
      </c>
    </row>
    <row r="162" spans="1:21">
      <c r="A162" s="47" t="s">
        <v>1016</v>
      </c>
      <c r="B162" s="37" t="str">
        <f>IF(Base_Original!A163="","vazio",IF(Base_Original!A163="ATIVO","Ativo",IF(Base_Original!A163="INATIVO","Inativo",Base_Original!A163)))</f>
        <v>Inativo</v>
      </c>
      <c r="C162" s="37" t="str">
        <f>PROPER(Base_Original!B163)</f>
        <v>Jorah Hightower</v>
      </c>
      <c r="D162" s="38" t="s">
        <v>396</v>
      </c>
      <c r="E162" s="39" t="str">
        <f>IF($D162="","Vazio",IF(LEN(SUBSTITUTE(SUBSTITUTE($D162&amp;"",".",""),"-",""))&lt;&gt;11,"Inválido","OK"))</f>
        <v>OK</v>
      </c>
      <c r="F162" s="39" t="str">
        <f>IF($D162="","Vazio",IF(COUNTIF($D$2:$D$369,$D162)&gt;1,"Duplicado","Único"))</f>
        <v>Único</v>
      </c>
      <c r="G162" s="40" t="str">
        <f>IF(TRIM(Base_Original!D162)="","",SUBSTITUTE(TRIM(Base_Original!D162),"anos",""))</f>
        <v>44</v>
      </c>
      <c r="H162" s="50">
        <f>IF($J162="","Vazio",DATEDIF($J162,DATE(2026,9,10),"Y"))</f>
        <v>44</v>
      </c>
      <c r="I16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62" s="33">
        <v>30069</v>
      </c>
      <c r="K162" s="42" t="s">
        <v>69</v>
      </c>
      <c r="L162" s="42" t="str">
        <f>PROPER(Base_Original!G162)</f>
        <v>Terras Fluviais</v>
      </c>
      <c r="M162" s="43">
        <v>21700</v>
      </c>
      <c r="N162" s="43">
        <f>IF(ISNUMBER(Base_Original!I163),Base_Original!I163,IF(RIGHT(Base_Original!I163,7)=" moedas",VALUE(LEFT(Base_Original!I163,LEN(Base_Original!I163)-7)),Base_Original!I163))</f>
        <v>0</v>
      </c>
      <c r="O162" s="44" t="str">
        <f>IF(AND($N162&gt;50000,$Q162="Sim"),"Negada","Aprovada")</f>
        <v>Aprovada</v>
      </c>
      <c r="P162" s="45" t="str">
        <f>IF(AND($T162="Negada",$O162="Negada"),0,IF($B162="Ativo",$U162*8%,"0"))</f>
        <v>0</v>
      </c>
      <c r="Q162" s="46" t="str">
        <f>IF(OR(Base_Original!J163="Sim",Base_Original!J163="sim",Base_Original!J163="SIM"),"Sim",IF(OR(Base_Original!J163="Não",Base_Original!J163="não",Base_Original!J163="NÃO",Base_Original!J163="Nao"),"Não",IF(Base_Original!J163="","vazio",Base_Original!J163)))</f>
        <v>Sim</v>
      </c>
      <c r="R162" s="46">
        <f>IF(ISNUMBER(Base_Original!K163),Base_Original!K163,IF(RIGHT(Base_Original!K163,9)=" batalhas",VALUE(LEFT(Base_Original!K163,LEN(Base_Original!K163)-9)),Base_Original!K163))</f>
        <v>1</v>
      </c>
      <c r="S162" s="42" t="str">
        <f>IF($R162="vazio","vazio",IF($R162&lt;=10,"Baixo",IF($R162&lt;=25,"Médio","Alto")))</f>
        <v>Baixo</v>
      </c>
      <c r="T162" s="42" t="str">
        <f>IF(AND($S162="Alto",$Q162="Sim"),"Negada","Aprovada")</f>
        <v>Aprovada</v>
      </c>
      <c r="U162" s="43">
        <v>12000</v>
      </c>
    </row>
    <row r="163" spans="1:21">
      <c r="A163" s="47" t="s">
        <v>1017</v>
      </c>
      <c r="B163" s="37" t="str">
        <f>IF(Base_Original!A162="","vazio",IF(Base_Original!A162="ATIVO","Ativo",IF(Base_Original!A162="INATIVO","Inativo",Base_Original!A162)))</f>
        <v>Ativo</v>
      </c>
      <c r="C163" s="37" t="str">
        <f>PROPER(Base_Original!B162)</f>
        <v>Jorah Hightower</v>
      </c>
      <c r="D163" s="38" t="s">
        <v>395</v>
      </c>
      <c r="E163" s="39" t="str">
        <f>IF($D163="","Vazio",IF(LEN(SUBSTITUTE(SUBSTITUTE($D163&amp;"",".",""),"-",""))&lt;&gt;11,"Inválido","OK"))</f>
        <v>OK</v>
      </c>
      <c r="F163" s="39" t="str">
        <f>IF($D163="","Vazio",IF(COUNTIF($D$2:$D$369,$D163)&gt;1,"Duplicado","Único"))</f>
        <v>Único</v>
      </c>
      <c r="G163" s="40" t="str">
        <f>IF(TRIM(Base_Original!D163)="","",SUBSTITUTE(TRIM(Base_Original!D163),"anos",""))</f>
        <v>62</v>
      </c>
      <c r="H163" s="50">
        <f>IF($J163="","Vazio",DATEDIF($J163,DATE(2026,9,10),"Y"))</f>
        <v>63</v>
      </c>
      <c r="I16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Diferente</v>
      </c>
      <c r="J163" s="33">
        <v>23259</v>
      </c>
      <c r="K163" s="42" t="s">
        <v>25</v>
      </c>
      <c r="L163" s="42" t="str">
        <f>PROPER(Base_Original!G163)</f>
        <v>Terras Da Coroa</v>
      </c>
      <c r="M163" s="43" t="s">
        <v>880</v>
      </c>
      <c r="N163" s="43">
        <f>IF(ISNUMBER(Base_Original!I162),Base_Original!I162,IF(RIGHT(Base_Original!I162,7)=" moedas",VALUE(LEFT(Base_Original!I162,LEN(Base_Original!I162)-7)),Base_Original!I162))</f>
        <v>34500</v>
      </c>
      <c r="O163" s="44" t="str">
        <f>IF(AND($N163&gt;50000,$Q163="Sim"),"Negada","Aprovada")</f>
        <v>Aprovada</v>
      </c>
      <c r="P163" s="45">
        <f>IF(AND($T163="Negada",$O163="Negada"),0,IF($B163="Ativo",$U163*8%,"0"))</f>
        <v>840</v>
      </c>
      <c r="Q163" s="46" t="str">
        <f>IF(OR(Base_Original!J162="Sim",Base_Original!J162="sim",Base_Original!J162="SIM"),"Sim",IF(OR(Base_Original!J162="Não",Base_Original!J162="não",Base_Original!J162="NÃO",Base_Original!J162="Nao"),"Não",IF(Base_Original!J162="","vazio",Base_Original!J162)))</f>
        <v>Não</v>
      </c>
      <c r="R163" s="46">
        <f>IF(ISNUMBER(Base_Original!K162),Base_Original!K162,IF(RIGHT(Base_Original!K162,9)=" batalhas",VALUE(LEFT(Base_Original!K162,LEN(Base_Original!K162)-9)),Base_Original!K162))</f>
        <v>29</v>
      </c>
      <c r="S163" s="42" t="str">
        <f>IF($R163="vazio","vazio",IF($R163&lt;=10,"Baixo",IF($R163&lt;=25,"Médio","Alto")))</f>
        <v>Alto</v>
      </c>
      <c r="T163" s="42" t="str">
        <f>IF(AND($S163="Alto",$Q163="Sim"),"Negada","Aprovada")</f>
        <v>Aprovada</v>
      </c>
      <c r="U163" s="43">
        <v>10500</v>
      </c>
    </row>
    <row r="164" spans="1:21">
      <c r="A164" s="47" t="s">
        <v>1018</v>
      </c>
      <c r="B164" s="37" t="str">
        <f>IF(Base_Original!A166="","vazio",IF(Base_Original!A166="ATIVO","Ativo",IF(Base_Original!A166="INATIVO","Inativo",Base_Original!A166)))</f>
        <v>Ativo</v>
      </c>
      <c r="C164" s="37" t="str">
        <f>PROPER(Base_Original!B166)</f>
        <v>Jorah Marbrand</v>
      </c>
      <c r="D164" s="38" t="s">
        <v>399</v>
      </c>
      <c r="E164" s="39" t="str">
        <f>IF($D164="","Vazio",IF(LEN(SUBSTITUTE(SUBSTITUTE($D164&amp;"",".",""),"-",""))&lt;&gt;11,"Inválido","OK"))</f>
        <v>OK</v>
      </c>
      <c r="F164" s="39" t="str">
        <f>IF($D164="","Vazio",IF(COUNTIF($D$2:$D$369,$D164)&gt;1,"Duplicado","Único"))</f>
        <v>Duplicado</v>
      </c>
      <c r="G164" s="40" t="str">
        <f>IF(TRIM(Base_Original!D164)="","",SUBSTITUTE(TRIM(Base_Original!D164),"anos",""))</f>
        <v>37</v>
      </c>
      <c r="H164" s="50">
        <f>IF($J164="","Vazio",DATEDIF($J164,DATE(2026,9,10),"Y"))</f>
        <v>37</v>
      </c>
      <c r="I16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64" s="33">
        <v>32414</v>
      </c>
      <c r="K164" s="42" t="s">
        <v>400</v>
      </c>
      <c r="L164" s="42" t="str">
        <f>PROPER(Base_Original!G164)</f>
        <v/>
      </c>
      <c r="M164" s="43">
        <v>15500</v>
      </c>
      <c r="N164" s="43" t="s">
        <v>880</v>
      </c>
      <c r="O164" s="44" t="str">
        <f>IF(AND($N164&gt;50000,$Q164="Sim"),"Negada","Aprovada")</f>
        <v>Aprovada</v>
      </c>
      <c r="P164" s="45">
        <f>IF(AND($T164="Negada",$O164="Negada"),0,IF($B164="Ativo",$U164*8%,"0"))</f>
        <v>1480</v>
      </c>
      <c r="Q164" s="46" t="str">
        <f>IF(OR(Base_Original!J166="Sim",Base_Original!J166="sim",Base_Original!J166="SIM"),"Sim",IF(OR(Base_Original!J166="Não",Base_Original!J166="não",Base_Original!J166="NÃO",Base_Original!J166="Nao"),"Não",IF(Base_Original!J166="","vazio",Base_Original!J166)))</f>
        <v>Não</v>
      </c>
      <c r="R164" s="46">
        <f>IF(ISNUMBER(Base_Original!K166),Base_Original!K166,IF(RIGHT(Base_Original!K166,9)=" batalhas",VALUE(LEFT(Base_Original!K166,LEN(Base_Original!K166)-9)),Base_Original!K166))</f>
        <v>16</v>
      </c>
      <c r="S164" s="42" t="str">
        <f>IF($R164="vazio","vazio",IF($R164&lt;=10,"Baixo",IF($R164&lt;=25,"Médio","Alto")))</f>
        <v>Médio</v>
      </c>
      <c r="T164" s="42" t="str">
        <f>IF(AND($S164="Alto",$Q164="Sim"),"Negada","Aprovada")</f>
        <v>Aprovada</v>
      </c>
      <c r="U164" s="43">
        <v>18500</v>
      </c>
    </row>
    <row r="165" spans="1:21">
      <c r="A165" s="47" t="s">
        <v>1019</v>
      </c>
      <c r="B165" s="37" t="str">
        <f>IF(Base_Original!A164="","vazio",IF(Base_Original!A164="ATIVO","Ativo",IF(Base_Original!A164="INATIVO","Inativo",Base_Original!A164)))</f>
        <v>Ativo</v>
      </c>
      <c r="C165" s="37" t="str">
        <f>PROPER(Base_Original!B164)</f>
        <v>Jorah Marbrand</v>
      </c>
      <c r="D165" s="38" t="s">
        <v>399</v>
      </c>
      <c r="E165" s="39" t="str">
        <f>IF($D165="","Vazio",IF(LEN(SUBSTITUTE(SUBSTITUTE($D165&amp;"",".",""),"-",""))&lt;&gt;11,"Inválido","OK"))</f>
        <v>OK</v>
      </c>
      <c r="F165" s="39" t="str">
        <f>IF($D165="","Vazio",IF(COUNTIF($D$2:$D$369,$D165)&gt;1,"Duplicado","Único"))</f>
        <v>Duplicado</v>
      </c>
      <c r="G165" s="40" t="str">
        <f>IF(TRIM(Base_Original!D165)="","",SUBSTITUTE(TRIM(Base_Original!D165),"anos",""))</f>
        <v>37</v>
      </c>
      <c r="H165" s="50">
        <f>IF($J165="","Vazio",DATEDIF($J165,DATE(2026,9,10),"Y"))</f>
        <v>37</v>
      </c>
      <c r="I16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65" s="33">
        <v>32414</v>
      </c>
      <c r="K165" s="42" t="s">
        <v>400</v>
      </c>
      <c r="L165" s="42" t="str">
        <f>PROPER(Base_Original!G165)</f>
        <v/>
      </c>
      <c r="M165" s="43">
        <v>12800</v>
      </c>
      <c r="N165" s="43">
        <f>IF(ISNUMBER(Base_Original!I164),Base_Original!I164,IF(RIGHT(Base_Original!I164,7)=" moedas",VALUE(LEFT(Base_Original!I164,LEN(Base_Original!I164)-7)),Base_Original!I164))</f>
        <v>76500</v>
      </c>
      <c r="O165" s="44" t="str">
        <f>IF(AND($N165&gt;50000,$Q165="Sim"),"Negada","Aprovada")</f>
        <v>Aprovada</v>
      </c>
      <c r="P165" s="45">
        <f>IF(AND($T165="Negada",$O165="Negada"),0,IF($B165="Ativo",$U165*8%,"0"))</f>
        <v>7600</v>
      </c>
      <c r="Q165" s="46" t="str">
        <f>IF(OR(Base_Original!J164="Sim",Base_Original!J164="sim",Base_Original!J164="SIM"),"Sim",IF(OR(Base_Original!J164="Não",Base_Original!J164="não",Base_Original!J164="NÃO",Base_Original!J164="Nao"),"Não",IF(Base_Original!J164="","vazio",Base_Original!J164)))</f>
        <v>Não</v>
      </c>
      <c r="R165" s="46">
        <f>IF(ISNUMBER(Base_Original!K164),Base_Original!K164,IF(RIGHT(Base_Original!K164,9)=" batalhas",VALUE(LEFT(Base_Original!K164,LEN(Base_Original!K164)-9)),Base_Original!K164))</f>
        <v>30</v>
      </c>
      <c r="S165" s="42" t="str">
        <f>IF($R165="vazio","vazio",IF($R165&lt;=10,"Baixo",IF($R165&lt;=25,"Médio","Alto")))</f>
        <v>Alto</v>
      </c>
      <c r="T165" s="42" t="str">
        <f>IF(AND($S165="Alto",$Q165="Sim"),"Negada","Aprovada")</f>
        <v>Aprovada</v>
      </c>
      <c r="U165" s="43">
        <v>95000</v>
      </c>
    </row>
    <row r="166" spans="1:21">
      <c r="A166" s="47" t="s">
        <v>1020</v>
      </c>
      <c r="B166" s="37" t="str">
        <f>IF(Base_Original!A165="","vazio",IF(Base_Original!A165="ATIVO","Ativo",IF(Base_Original!A165="INATIVO","Inativo",Base_Original!A165)))</f>
        <v>Ativo</v>
      </c>
      <c r="C166" s="37" t="str">
        <f>PROPER(Base_Original!B165)</f>
        <v>Jorah Marbrand</v>
      </c>
      <c r="D166" s="38" t="s">
        <v>402</v>
      </c>
      <c r="E166" s="39" t="str">
        <f>IF($D166="","Vazio",IF(LEN(SUBSTITUTE(SUBSTITUTE($D166&amp;"",".",""),"-",""))&lt;&gt;11,"Inválido","OK"))</f>
        <v>OK</v>
      </c>
      <c r="F166" s="39" t="str">
        <f>IF($D166="","Vazio",IF(COUNTIF($D$2:$D$369,$D166)&gt;1,"Duplicado","Único"))</f>
        <v>Único</v>
      </c>
      <c r="G166" s="40" t="str">
        <f>IF(TRIM(Base_Original!D166)="","",SUBSTITUTE(TRIM(Base_Original!D166),"anos",""))</f>
        <v>53</v>
      </c>
      <c r="H166" s="50">
        <f>IF($J166="","Vazio",DATEDIF($J166,DATE(2026,9,10),"Y"))</f>
        <v>53</v>
      </c>
      <c r="I16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66" s="33">
        <v>26558</v>
      </c>
      <c r="K166" s="42" t="s">
        <v>69</v>
      </c>
      <c r="L166" s="42" t="str">
        <f>PROPER(Base_Original!G166)</f>
        <v>Terras Da Coroa</v>
      </c>
      <c r="M166" s="43">
        <v>12800</v>
      </c>
      <c r="N166" s="43">
        <f>IF(ISNUMBER(Base_Original!I165),Base_Original!I165,IF(RIGHT(Base_Original!I165,7)=" moedas",VALUE(LEFT(Base_Original!I165,LEN(Base_Original!I165)-7)),Base_Original!I165))</f>
        <v>76500</v>
      </c>
      <c r="O166" s="44" t="str">
        <f>IF(AND($N166&gt;50000,$Q166="Sim"),"Negada","Aprovada")</f>
        <v>Aprovada</v>
      </c>
      <c r="P166" s="45">
        <f>IF(AND($T166="Negada",$O166="Negada"),0,IF($B166="Ativo",$U166*8%,"0"))</f>
        <v>3280</v>
      </c>
      <c r="Q166" s="46" t="str">
        <f>IF(OR(Base_Original!J165="Sim",Base_Original!J165="sim",Base_Original!J165="SIM"),"Sim",IF(OR(Base_Original!J165="Não",Base_Original!J165="não",Base_Original!J165="NÃO",Base_Original!J165="Nao"),"Não",IF(Base_Original!J165="","vazio",Base_Original!J165)))</f>
        <v>Não</v>
      </c>
      <c r="R166" s="46">
        <f>IF(ISNUMBER(Base_Original!K165),Base_Original!K165,IF(RIGHT(Base_Original!K165,9)=" batalhas",VALUE(LEFT(Base_Original!K165,LEN(Base_Original!K165)-9)),Base_Original!K165))</f>
        <v>30</v>
      </c>
      <c r="S166" s="42" t="str">
        <f>IF($R166="vazio","vazio",IF($R166&lt;=10,"Baixo",IF($R166&lt;=25,"Médio","Alto")))</f>
        <v>Alto</v>
      </c>
      <c r="T166" s="42" t="str">
        <f>IF(AND($S166="Alto",$Q166="Sim"),"Negada","Aprovada")</f>
        <v>Aprovada</v>
      </c>
      <c r="U166" s="43">
        <v>41000</v>
      </c>
    </row>
    <row r="167" spans="1:21">
      <c r="A167" s="47" t="s">
        <v>1021</v>
      </c>
      <c r="B167" s="37" t="str">
        <f>IF(Base_Original!A167="","vazio",IF(Base_Original!A167="ATIVO","Ativo",IF(Base_Original!A167="INATIVO","Inativo",Base_Original!A167)))</f>
        <v>Ativo</v>
      </c>
      <c r="C167" s="37" t="str">
        <f>PROPER(Base_Original!B167)</f>
        <v>Jorah Redwyne</v>
      </c>
      <c r="D167" s="38">
        <v>16500</v>
      </c>
      <c r="E167" s="39" t="str">
        <f>IF($D167="","Vazio",IF(LEN(SUBSTITUTE(SUBSTITUTE($D167&amp;"",".",""),"-",""))&lt;&gt;11,"Inválido","OK"))</f>
        <v>Inválido</v>
      </c>
      <c r="F167" s="39" t="str">
        <f>IF($D167="","Vazio",IF(COUNTIF($D$2:$D$369,$D167)&gt;1,"Duplicado","Único"))</f>
        <v>Único</v>
      </c>
      <c r="G167" s="40" t="str">
        <f>IF(TRIM(Base_Original!D167)="","",SUBSTITUTE(TRIM(Base_Original!D167),"anos",""))</f>
        <v>37</v>
      </c>
      <c r="H167" s="50">
        <f>IF($J167="","Vazio",DATEDIF($J167,DATE(2026,9,10),"Y"))</f>
        <v>37</v>
      </c>
      <c r="I16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67" s="33">
        <v>32513</v>
      </c>
      <c r="K167" s="42" t="s">
        <v>275</v>
      </c>
      <c r="L167" s="42" t="str">
        <f>PROPER(Base_Original!G168)</f>
        <v>Terras Da Coroa</v>
      </c>
      <c r="M167" s="43">
        <v>24700</v>
      </c>
      <c r="N167" s="43" t="str">
        <f>IF(ISNUMBER(Base_Original!I167),Base_Original!I167,IF(RIGHT(Base_Original!I167,7)=" moedas",VALUE(LEFT(Base_Original!I167,LEN(Base_Original!I167)-7)),Base_Original!I167))</f>
        <v>N/A</v>
      </c>
      <c r="O167" s="44" t="str">
        <f>IF(AND($N167&gt;50000,$Q167="Sim"),"Negada","Aprovada")</f>
        <v>Aprovada</v>
      </c>
      <c r="P167" s="45">
        <f>IF(AND($T167="Negada",$O167="Negada"),0,IF($B167="Ativo",$U167*8%,"0"))</f>
        <v>1320</v>
      </c>
      <c r="Q167" s="46" t="str">
        <f>IF(OR(Base_Original!J167="Sim",Base_Original!J167="sim",Base_Original!J167="SIM"),"Sim",IF(OR(Base_Original!J167="Não",Base_Original!J167="não",Base_Original!J167="NÃO",Base_Original!J167="Nao"),"Não",IF(Base_Original!J167="","vazio",Base_Original!J167)))</f>
        <v>Não</v>
      </c>
      <c r="R167" s="46">
        <f>IF(ISNUMBER(Base_Original!K167),Base_Original!K167,IF(RIGHT(Base_Original!K167,9)=" batalhas",VALUE(LEFT(Base_Original!K167,LEN(Base_Original!K167)-9)),Base_Original!K167))</f>
        <v>5</v>
      </c>
      <c r="S167" s="42" t="str">
        <f>IF($R167="vazio","vazio",IF($R167&lt;=10,"Baixo",IF($R167&lt;=25,"Médio","Alto")))</f>
        <v>Baixo</v>
      </c>
      <c r="T167" s="42" t="str">
        <f>IF(AND($S167="Alto",$Q167="Sim"),"Negada","Aprovada")</f>
        <v>Aprovada</v>
      </c>
      <c r="U167" s="43">
        <v>16500</v>
      </c>
    </row>
    <row r="168" spans="1:21">
      <c r="A168" s="47" t="s">
        <v>1022</v>
      </c>
      <c r="B168" s="37" t="str">
        <f>IF(Base_Original!A168="","vazio",IF(Base_Original!A168="ATIVO","Ativo",IF(Base_Original!A168="INATIVO","Inativo",Base_Original!A168)))</f>
        <v>Inativo</v>
      </c>
      <c r="C168" s="37" t="str">
        <f>PROPER(Base_Original!B168)</f>
        <v>Jorah Redwyne</v>
      </c>
      <c r="D168" s="38">
        <v>4000</v>
      </c>
      <c r="E168" s="39" t="str">
        <f>IF($D168="","Vazio",IF(LEN(SUBSTITUTE(SUBSTITUTE($D168&amp;"",".",""),"-",""))&lt;&gt;11,"Inválido","OK"))</f>
        <v>Inválido</v>
      </c>
      <c r="F168" s="39" t="str">
        <f>IF($D168="","Vazio",IF(COUNTIF($D$2:$D$369,$D168)&gt;1,"Duplicado","Único"))</f>
        <v>Único</v>
      </c>
      <c r="G168" s="40" t="str">
        <f>IF(TRIM(Base_Original!D168)="","",SUBSTITUTE(TRIM(Base_Original!D168),"anos",""))</f>
        <v>48</v>
      </c>
      <c r="H168" s="50">
        <f>IF($J168="","Vazio",DATEDIF($J168,DATE(2026,9,10),"Y"))</f>
        <v>48</v>
      </c>
      <c r="I16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68" s="33">
        <v>28663</v>
      </c>
      <c r="K168" s="42" t="s">
        <v>104</v>
      </c>
      <c r="L168" s="42" t="str">
        <f>PROPER(Base_Original!G167)</f>
        <v>Campina</v>
      </c>
      <c r="M168" s="43">
        <v>2600</v>
      </c>
      <c r="N168" s="43">
        <f>IF(ISNUMBER(Base_Original!I168),Base_Original!I168,IF(RIGHT(Base_Original!I168,7)=" moedas",VALUE(LEFT(Base_Original!I168,LEN(Base_Original!I168)-7)),Base_Original!I168))</f>
        <v>30500</v>
      </c>
      <c r="O168" s="44" t="str">
        <f>IF(AND($N168&gt;50000,$Q168="Sim"),"Negada","Aprovada")</f>
        <v>Aprovada</v>
      </c>
      <c r="P168" s="45" t="str">
        <f>IF(AND($T168="Negada",$O168="Negada"),0,IF($B168="Ativo",$U168*8%,"0"))</f>
        <v>0</v>
      </c>
      <c r="Q168" s="46" t="str">
        <f>IF(OR(Base_Original!J168="Sim",Base_Original!J168="sim",Base_Original!J168="SIM"),"Sim",IF(OR(Base_Original!J168="Não",Base_Original!J168="não",Base_Original!J168="NÃO",Base_Original!J168="Nao"),"Não",IF(Base_Original!J168="","vazio",Base_Original!J168)))</f>
        <v>Não</v>
      </c>
      <c r="R168" s="46">
        <f>IF(ISNUMBER(Base_Original!K168),Base_Original!K168,IF(RIGHT(Base_Original!K168,9)=" batalhas",VALUE(LEFT(Base_Original!K168,LEN(Base_Original!K168)-9)),Base_Original!K168))</f>
        <v>34</v>
      </c>
      <c r="S168" s="42" t="str">
        <f>IF($R168="vazio","vazio",IF($R168&lt;=10,"Baixo",IF($R168&lt;=25,"Médio","Alto")))</f>
        <v>Alto</v>
      </c>
      <c r="T168" s="42" t="str">
        <f>IF(AND($S168="Alto",$Q168="Sim"),"Negada","Aprovada")</f>
        <v>Aprovada</v>
      </c>
      <c r="U168" s="43">
        <v>87500</v>
      </c>
    </row>
    <row r="169" spans="1:21">
      <c r="A169" s="47" t="s">
        <v>1023</v>
      </c>
      <c r="B169" s="37" t="str">
        <f>IF(Base_Original!A169="","vazio",IF(Base_Original!A169="ATIVO","Ativo",IF(Base_Original!A169="INATIVO","Inativo",Base_Original!A169)))</f>
        <v>Ativoo</v>
      </c>
      <c r="C169" s="37" t="str">
        <f>PROPER(Base_Original!B169)</f>
        <v>Jorah Seaworth</v>
      </c>
      <c r="D169" s="38">
        <v>20700</v>
      </c>
      <c r="E169" s="39" t="str">
        <f>IF($D169="","Vazio",IF(LEN(SUBSTITUTE(SUBSTITUTE($D169&amp;"",".",""),"-",""))&lt;&gt;11,"Inválido","OK"))</f>
        <v>Inválido</v>
      </c>
      <c r="F169" s="39" t="str">
        <f>IF($D169="","Vazio",IF(COUNTIF($D$2:$D$369,$D169)&gt;1,"Duplicado","Único"))</f>
        <v>Único</v>
      </c>
      <c r="G169" s="40" t="str">
        <f>IF(TRIM(Base_Original!D169)="","",SUBSTITUTE(TRIM(Base_Original!D169),"anos",""))</f>
        <v>66</v>
      </c>
      <c r="H169" s="50">
        <f>IF($J169="","Vazio",DATEDIF($J169,DATE(2026,9,10),"Y"))</f>
        <v>66</v>
      </c>
      <c r="I16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69" s="33">
        <v>22151</v>
      </c>
      <c r="K169" s="42" t="s">
        <v>142</v>
      </c>
      <c r="L169" s="42" t="str">
        <f>PROPER(Base_Original!G169)</f>
        <v/>
      </c>
      <c r="M169" s="43">
        <v>28800</v>
      </c>
      <c r="N169" s="43">
        <f>IF(ISNUMBER(Base_Original!I169),Base_Original!I169,IF(RIGHT(Base_Original!I169,7)=" moedas",VALUE(LEFT(Base_Original!I169,LEN(Base_Original!I169)-7)),Base_Original!I169))</f>
        <v>16000</v>
      </c>
      <c r="O169" s="44" t="str">
        <f>IF(AND($N169&gt;50000,$Q169="Sim"),"Negada","Aprovada")</f>
        <v>Aprovada</v>
      </c>
      <c r="P169" s="45" t="str">
        <f>IF(AND($T169="Negada",$O169="Negada"),0,IF($B169="Ativo",$U169*8%,"0"))</f>
        <v>0</v>
      </c>
      <c r="Q169" s="46" t="str">
        <f>IF(OR(Base_Original!J169="Sim",Base_Original!J169="sim",Base_Original!J169="SIM"),"Sim",IF(OR(Base_Original!J169="Não",Base_Original!J169="não",Base_Original!J169="NÃO",Base_Original!J169="Nao"),"Não",IF(Base_Original!J169="","vazio",Base_Original!J169)))</f>
        <v>Sim</v>
      </c>
      <c r="R169" s="46">
        <f>IF(ISNUMBER(Base_Original!K169),Base_Original!K169,IF(RIGHT(Base_Original!K169,9)=" batalhas",VALUE(LEFT(Base_Original!K169,LEN(Base_Original!K169)-9)),Base_Original!K169))</f>
        <v>44</v>
      </c>
      <c r="S169" s="42" t="str">
        <f>IF($R169="vazio","vazio",IF($R169&lt;=10,"Baixo",IF($R169&lt;=25,"Médio","Alto")))</f>
        <v>Alto</v>
      </c>
      <c r="T169" s="42" t="str">
        <f>IF(AND($S169="Alto",$Q169="Sim"),"Negada","Aprovada")</f>
        <v>Negada</v>
      </c>
      <c r="U169" s="43">
        <v>59000</v>
      </c>
    </row>
    <row r="170" spans="1:21">
      <c r="A170" s="47" t="s">
        <v>1024</v>
      </c>
      <c r="B170" s="37" t="str">
        <f>IF(Base_Original!A170="","vazio",IF(Base_Original!A170="ATIVO","Ativo",IF(Base_Original!A170="INATIVO","Inativo",Base_Original!A170)))</f>
        <v>Ativo</v>
      </c>
      <c r="C170" s="37" t="str">
        <f>PROPER(Base_Original!B170)</f>
        <v>Loras  Tarth</v>
      </c>
      <c r="D170" s="38" t="s">
        <v>407</v>
      </c>
      <c r="E170" s="39" t="str">
        <f>IF($D170="","Vazio",IF(LEN(SUBSTITUTE(SUBSTITUTE($D170&amp;"",".",""),"-",""))&lt;&gt;11,"Inválido","OK"))</f>
        <v>OK</v>
      </c>
      <c r="F170" s="39" t="str">
        <f>IF($D170="","Vazio",IF(COUNTIF($D$2:$D$369,$D170)&gt;1,"Duplicado","Único"))</f>
        <v>Único</v>
      </c>
      <c r="G170" s="40" t="str">
        <f>IF(TRIM(Base_Original!D170)="","",SUBSTITUTE(TRIM(Base_Original!D170),"anos",""))</f>
        <v>43</v>
      </c>
      <c r="H170" s="50">
        <f>IF($J170="","Vazio",DATEDIF($J170,DATE(2026,9,10),"Y"))</f>
        <v>43</v>
      </c>
      <c r="I17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70" s="33">
        <v>30437</v>
      </c>
      <c r="K170" s="42" t="s">
        <v>104</v>
      </c>
      <c r="L170" s="42" t="str">
        <f>PROPER(Base_Original!G170)</f>
        <v>Terras Da Coroa</v>
      </c>
      <c r="M170" s="43">
        <v>14600</v>
      </c>
      <c r="N170" s="43">
        <f>IF(ISNUMBER(Base_Original!I170),Base_Original!I170,IF(RIGHT(Base_Original!I170,7)=" moedas",VALUE(LEFT(Base_Original!I170,LEN(Base_Original!I170)-7)),Base_Original!I170))</f>
        <v>18500</v>
      </c>
      <c r="O170" s="44" t="str">
        <f>IF(AND($N170&gt;50000,$Q170="Sim"),"Negada","Aprovada")</f>
        <v>Aprovada</v>
      </c>
      <c r="P170" s="45">
        <f>IF(AND($T170="Negada",$O170="Negada"),0,IF($B170="Ativo",$U170*8%,"0"))</f>
        <v>1320</v>
      </c>
      <c r="Q170" s="46" t="str">
        <f>IF(OR(Base_Original!J170="Sim",Base_Original!J170="sim",Base_Original!J170="SIM"),"Sim",IF(OR(Base_Original!J170="Não",Base_Original!J170="não",Base_Original!J170="NÃO",Base_Original!J170="Nao"),"Não",IF(Base_Original!J170="","vazio",Base_Original!J170)))</f>
        <v>Sim</v>
      </c>
      <c r="R170" s="46">
        <f>IF(ISNUMBER(Base_Original!K170),Base_Original!K170,IF(RIGHT(Base_Original!K170,9)=" batalhas",VALUE(LEFT(Base_Original!K170,LEN(Base_Original!K170)-9)),Base_Original!K170))</f>
        <v>22</v>
      </c>
      <c r="S170" s="42" t="str">
        <f>IF($R170="vazio","vazio",IF($R170&lt;=10,"Baixo",IF($R170&lt;=25,"Médio","Alto")))</f>
        <v>Médio</v>
      </c>
      <c r="T170" s="42" t="str">
        <f>IF(AND($S170="Alto",$Q170="Sim"),"Negada","Aprovada")</f>
        <v>Aprovada</v>
      </c>
      <c r="U170" s="43">
        <v>16500</v>
      </c>
    </row>
    <row r="171" spans="1:21">
      <c r="A171" s="47" t="s">
        <v>1025</v>
      </c>
      <c r="B171" s="37" t="str">
        <f>IF(Base_Original!A171="","vazio",IF(Base_Original!A171="ATIVO","Ativo",IF(Base_Original!A171="INATIVO","Inativo",Base_Original!A171)))</f>
        <v>Inativo</v>
      </c>
      <c r="C171" s="37" t="str">
        <f>PROPER(Base_Original!B171)</f>
        <v>Loras Baelish</v>
      </c>
      <c r="D171" s="38" t="s">
        <v>409</v>
      </c>
      <c r="E171" s="39" t="str">
        <f>IF($D171="","Vazio",IF(LEN(SUBSTITUTE(SUBSTITUTE($D171&amp;"",".",""),"-",""))&lt;&gt;11,"Inválido","OK"))</f>
        <v>OK</v>
      </c>
      <c r="F171" s="39" t="str">
        <f>IF($D171="","Vazio",IF(COUNTIF($D$2:$D$369,$D171)&gt;1,"Duplicado","Único"))</f>
        <v>Único</v>
      </c>
      <c r="G171" s="40" t="str">
        <f>IF(TRIM(Base_Original!D171)="","",SUBSTITUTE(TRIM(Base_Original!D171),"anos",""))</f>
        <v>68</v>
      </c>
      <c r="H171" s="50">
        <f>IF($J171="","Vazio",DATEDIF($J171,DATE(2026,9,10),"Y"))</f>
        <v>68</v>
      </c>
      <c r="I17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71" s="33">
        <v>21205</v>
      </c>
      <c r="K171" s="42" t="s">
        <v>20</v>
      </c>
      <c r="L171" s="42" t="str">
        <f>PROPER(Base_Original!G171)</f>
        <v>Campina</v>
      </c>
      <c r="M171" s="43">
        <v>8200</v>
      </c>
      <c r="N171" s="43">
        <f>IF(ISNUMBER(Base_Original!I171),Base_Original!I171,IF(RIGHT(Base_Original!I171,7)=" moedas",VALUE(LEFT(Base_Original!I171,LEN(Base_Original!I171)-7)),Base_Original!I171))</f>
        <v>66000</v>
      </c>
      <c r="O171" s="44" t="str">
        <f>IF(AND($N171&gt;50000,$Q171="Sim"),"Negada","Aprovada")</f>
        <v>Aprovada</v>
      </c>
      <c r="P171" s="45" t="str">
        <f>IF(AND($T171="Negada",$O171="Negada"),0,IF($B171="Ativo",$U171*8%,"0"))</f>
        <v>0</v>
      </c>
      <c r="Q171" s="46" t="str">
        <f>IF(OR(Base_Original!J171="Sim",Base_Original!J171="sim",Base_Original!J171="SIM"),"Sim",IF(OR(Base_Original!J171="Não",Base_Original!J171="não",Base_Original!J171="NÃO",Base_Original!J171="Nao"),"Não",IF(Base_Original!J171="","vazio",Base_Original!J171)))</f>
        <v>Não</v>
      </c>
      <c r="R171" s="46">
        <f>IF(ISNUMBER(Base_Original!K171),Base_Original!K171,IF(RIGHT(Base_Original!K171,9)=" batalhas",VALUE(LEFT(Base_Original!K171,LEN(Base_Original!K171)-9)),Base_Original!K171))</f>
        <v>16</v>
      </c>
      <c r="S171" s="42" t="str">
        <f>IF($R171="vazio","vazio",IF($R171&lt;=10,"Baixo",IF($R171&lt;=25,"Médio","Alto")))</f>
        <v>Médio</v>
      </c>
      <c r="T171" s="42" t="str">
        <f>IF(AND($S171="Alto",$Q171="Sim"),"Negada","Aprovada")</f>
        <v>Aprovada</v>
      </c>
      <c r="U171" s="43">
        <v>84000</v>
      </c>
    </row>
    <row r="172" spans="1:21">
      <c r="A172" s="47" t="s">
        <v>1026</v>
      </c>
      <c r="B172" s="37" t="str">
        <f>IF(Base_Original!A172="","vazio",IF(Base_Original!A172="ATIVO","Ativo",IF(Base_Original!A172="INATIVO","Inativo",Base_Original!A172)))</f>
        <v>Ativo</v>
      </c>
      <c r="C172" s="37" t="str">
        <f>PROPER(Base_Original!B172)</f>
        <v>Loras Bracken</v>
      </c>
      <c r="D172" s="38" t="s">
        <v>411</v>
      </c>
      <c r="E172" s="39" t="str">
        <f>IF($D172="","Vazio",IF(LEN(SUBSTITUTE(SUBSTITUTE($D172&amp;"",".",""),"-",""))&lt;&gt;11,"Inválido","OK"))</f>
        <v>OK</v>
      </c>
      <c r="F172" s="39" t="str">
        <f>IF($D172="","Vazio",IF(COUNTIF($D$2:$D$369,$D172)&gt;1,"Duplicado","Único"))</f>
        <v>Único</v>
      </c>
      <c r="G172" s="40" t="str">
        <f>IF(TRIM(Base_Original!D172)="","",SUBSTITUTE(TRIM(Base_Original!D172),"anos",""))</f>
        <v>51</v>
      </c>
      <c r="H172" s="50">
        <f>IF($J172="","Vazio",DATEDIF($J172,DATE(2026,9,10),"Y"))</f>
        <v>51</v>
      </c>
      <c r="I17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72" s="33">
        <v>27505</v>
      </c>
      <c r="K172" s="42" t="s">
        <v>412</v>
      </c>
      <c r="L172" s="42" t="str">
        <f>PROPER(Base_Original!G172)</f>
        <v/>
      </c>
      <c r="M172" s="43">
        <v>7200</v>
      </c>
      <c r="N172" s="43">
        <f>IF(ISNUMBER(Base_Original!I172),Base_Original!I172,IF(RIGHT(Base_Original!I172,7)=" moedas",VALUE(LEFT(Base_Original!I172,LEN(Base_Original!I172)-7)),Base_Original!I172))</f>
        <v>17500</v>
      </c>
      <c r="O172" s="44" t="str">
        <f>IF(AND($N172&gt;50000,$Q172="Sim"),"Negada","Aprovada")</f>
        <v>Aprovada</v>
      </c>
      <c r="P172" s="45">
        <f>IF(AND($T172="Negada",$O172="Negada"),0,IF($B172="Ativo",$U172*8%,"0"))</f>
        <v>440</v>
      </c>
      <c r="Q172" s="46" t="str">
        <f>IF(OR(Base_Original!J172="Sim",Base_Original!J172="sim",Base_Original!J172="SIM"),"Sim",IF(OR(Base_Original!J172="Não",Base_Original!J172="não",Base_Original!J172="NÃO",Base_Original!J172="Nao"),"Não",IF(Base_Original!J172="","vazio",Base_Original!J172)))</f>
        <v>Sim</v>
      </c>
      <c r="R172" s="46">
        <f>IF(ISNUMBER(Base_Original!K172),Base_Original!K172,IF(RIGHT(Base_Original!K172,9)=" batalhas",VALUE(LEFT(Base_Original!K172,LEN(Base_Original!K172)-9)),Base_Original!K172))</f>
        <v>40</v>
      </c>
      <c r="S172" s="42" t="str">
        <f>IF($R172="vazio","vazio",IF($R172&lt;=10,"Baixo",IF($R172&lt;=25,"Médio","Alto")))</f>
        <v>Alto</v>
      </c>
      <c r="T172" s="42" t="str">
        <f>IF(AND($S172="Alto",$Q172="Sim"),"Negada","Aprovada")</f>
        <v>Negada</v>
      </c>
      <c r="U172" s="43">
        <v>5500</v>
      </c>
    </row>
    <row r="173" spans="1:21">
      <c r="A173" s="47" t="s">
        <v>1027</v>
      </c>
      <c r="B173" s="37" t="str">
        <f>IF(Base_Original!A173="","vazio",IF(Base_Original!A173="ATIVO","Ativo",IF(Base_Original!A173="INATIVO","Inativo",Base_Original!A173)))</f>
        <v>Ativo</v>
      </c>
      <c r="C173" s="37" t="str">
        <f>PROPER(Base_Original!B173)</f>
        <v>Loras Clegane</v>
      </c>
      <c r="D173" s="38" t="s">
        <v>415</v>
      </c>
      <c r="E173" s="39" t="str">
        <f>IF($D173="","Vazio",IF(LEN(SUBSTITUTE(SUBSTITUTE($D173&amp;"",".",""),"-",""))&lt;&gt;11,"Inválido","OK"))</f>
        <v>OK</v>
      </c>
      <c r="F173" s="39" t="str">
        <f>IF($D173="","Vazio",IF(COUNTIF($D$2:$D$369,$D173)&gt;1,"Duplicado","Único"))</f>
        <v>Único</v>
      </c>
      <c r="G173" s="40" t="str">
        <f>IF(TRIM(Base_Original!D173)="","",SUBSTITUTE(TRIM(Base_Original!D173),"anos",""))</f>
        <v>58</v>
      </c>
      <c r="H173" s="50">
        <f>IF($J173="","Vazio",DATEDIF($J173,DATE(2026,9,10),"Y"))</f>
        <v>58</v>
      </c>
      <c r="I17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73" s="33">
        <v>24911</v>
      </c>
      <c r="K173" s="42" t="s">
        <v>160</v>
      </c>
      <c r="L173" s="42" t="str">
        <f>PROPER(Base_Original!G173)</f>
        <v>Terras Fluviais</v>
      </c>
      <c r="M173" s="43">
        <v>25400</v>
      </c>
      <c r="N173" s="43">
        <f>IF(ISNUMBER(Base_Original!I173),Base_Original!I173,IF(RIGHT(Base_Original!I173,7)=" moedas",VALUE(LEFT(Base_Original!I173,LEN(Base_Original!I173)-7)),Base_Original!I173))</f>
        <v>70500</v>
      </c>
      <c r="O173" s="44" t="str">
        <f>IF(AND($N173&gt;50000,$Q173="Sim"),"Negada","Aprovada")</f>
        <v>Negada</v>
      </c>
      <c r="P173" s="45">
        <f>IF(AND($T173="Negada",$O173="Negada"),0,IF($B173="Ativo",$U173*8%,"0"))</f>
        <v>3760</v>
      </c>
      <c r="Q173" s="46" t="str">
        <f>IF(OR(Base_Original!J173="Sim",Base_Original!J173="sim",Base_Original!J173="SIM"),"Sim",IF(OR(Base_Original!J173="Não",Base_Original!J173="não",Base_Original!J173="NÃO",Base_Original!J173="Nao"),"Não",IF(Base_Original!J173="","vazio",Base_Original!J173)))</f>
        <v>Sim</v>
      </c>
      <c r="R173" s="46">
        <f>IF(ISNUMBER(Base_Original!K173),Base_Original!K173,IF(RIGHT(Base_Original!K173,9)=" batalhas",VALUE(LEFT(Base_Original!K173,LEN(Base_Original!K173)-9)),Base_Original!K173))</f>
        <v>11</v>
      </c>
      <c r="S173" s="42" t="str">
        <f>IF($R173="vazio","vazio",IF($R173&lt;=10,"Baixo",IF($R173&lt;=25,"Médio","Alto")))</f>
        <v>Médio</v>
      </c>
      <c r="T173" s="42" t="str">
        <f>IF(AND($S173="Alto",$Q173="Sim"),"Negada","Aprovada")</f>
        <v>Aprovada</v>
      </c>
      <c r="U173" s="43">
        <v>47000</v>
      </c>
    </row>
    <row r="174" spans="1:21">
      <c r="A174" s="47" t="s">
        <v>1028</v>
      </c>
      <c r="B174" s="37" t="str">
        <f>IF(Base_Original!A174="","vazio",IF(Base_Original!A174="ATIVO","Ativo",IF(Base_Original!A174="INATIVO","Inativo",Base_Original!A174)))</f>
        <v>Inativo</v>
      </c>
      <c r="C174" s="37" t="str">
        <f>PROPER(Base_Original!B174)</f>
        <v>Loras Frey</v>
      </c>
      <c r="D174" s="38" t="s">
        <v>417</v>
      </c>
      <c r="E174" s="39" t="str">
        <f>IF($D174="","Vazio",IF(LEN(SUBSTITUTE(SUBSTITUTE($D174&amp;"",".",""),"-",""))&lt;&gt;11,"Inválido","OK"))</f>
        <v>OK</v>
      </c>
      <c r="F174" s="39" t="str">
        <f>IF($D174="","Vazio",IF(COUNTIF($D$2:$D$369,$D174)&gt;1,"Duplicado","Único"))</f>
        <v>Único</v>
      </c>
      <c r="G174" s="40" t="str">
        <f>IF(TRIM(Base_Original!D174)="","",SUBSTITUTE(TRIM(Base_Original!D174),"anos",""))</f>
        <v>30</v>
      </c>
      <c r="H174" s="50">
        <f>IF($J174="","Vazio",DATEDIF($J174,DATE(2026,9,10),"Y"))</f>
        <v>30</v>
      </c>
      <c r="I17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74" s="33">
        <v>35213</v>
      </c>
      <c r="K174" s="42" t="s">
        <v>418</v>
      </c>
      <c r="L174" s="42" t="str">
        <f>PROPER(Base_Original!G174)</f>
        <v/>
      </c>
      <c r="M174" s="43">
        <v>3900</v>
      </c>
      <c r="N174" s="43">
        <f>IF(ISNUMBER(Base_Original!I174),Base_Original!I174,IF(RIGHT(Base_Original!I174,7)=" moedas",VALUE(LEFT(Base_Original!I174,LEN(Base_Original!I174)-7)),Base_Original!I174))</f>
        <v>45000</v>
      </c>
      <c r="O174" s="44" t="str">
        <f>IF(AND($N174&gt;50000,$Q174="Sim"),"Negada","Aprovada")</f>
        <v>Aprovada</v>
      </c>
      <c r="P174" s="45" t="str">
        <f>IF(AND($T174="Negada",$O174="Negada"),0,IF($B174="Ativo",$U174*8%,"0"))</f>
        <v>0</v>
      </c>
      <c r="Q174" s="46" t="str">
        <f>IF(OR(Base_Original!J174="Sim",Base_Original!J174="sim",Base_Original!J174="SIM"),"Sim",IF(OR(Base_Original!J174="Não",Base_Original!J174="não",Base_Original!J174="NÃO",Base_Original!J174="Nao"),"Não",IF(Base_Original!J174="","vazio",Base_Original!J174)))</f>
        <v>Não</v>
      </c>
      <c r="R174" s="46">
        <f>IF(ISNUMBER(Base_Original!K174),Base_Original!K174,IF(RIGHT(Base_Original!K174,9)=" batalhas",VALUE(LEFT(Base_Original!K174,LEN(Base_Original!K174)-9)),Base_Original!K174))</f>
        <v>34</v>
      </c>
      <c r="S174" s="42" t="str">
        <f>IF($R174="vazio","vazio",IF($R174&lt;=10,"Baixo",IF($R174&lt;=25,"Médio","Alto")))</f>
        <v>Alto</v>
      </c>
      <c r="T174" s="42" t="str">
        <f>IF(AND($S174="Alto",$Q174="Sim"),"Negada","Aprovada")</f>
        <v>Aprovada</v>
      </c>
      <c r="U174" s="43">
        <v>41500</v>
      </c>
    </row>
    <row r="175" spans="1:21">
      <c r="A175" s="47" t="s">
        <v>1029</v>
      </c>
      <c r="B175" s="37" t="str">
        <f>IF(Base_Original!A175="","vazio",IF(Base_Original!A175="ATIVO","Ativo",IF(Base_Original!A175="INATIVO","Inativo",Base_Original!A175)))</f>
        <v>Ativo</v>
      </c>
      <c r="C175" s="37" t="str">
        <f>PROPER(Base_Original!B175)</f>
        <v>Loras Greyjoy</v>
      </c>
      <c r="D175" s="38" t="s">
        <v>420</v>
      </c>
      <c r="E175" s="39" t="str">
        <f>IF($D175="","Vazio",IF(LEN(SUBSTITUTE(SUBSTITUTE($D175&amp;"",".",""),"-",""))&lt;&gt;11,"Inválido","OK"))</f>
        <v>OK</v>
      </c>
      <c r="F175" s="39" t="str">
        <f>IF($D175="","Vazio",IF(COUNTIF($D$2:$D$369,$D175)&gt;1,"Duplicado","Único"))</f>
        <v>Único</v>
      </c>
      <c r="G175" s="40" t="str">
        <f>IF(TRIM(Base_Original!D175)="","",SUBSTITUTE(TRIM(Base_Original!D175),"anos",""))</f>
        <v>68</v>
      </c>
      <c r="H175" s="50">
        <f>IF($J175="","Vazio",DATEDIF($J175,DATE(2026,9,10),"Y"))</f>
        <v>68</v>
      </c>
      <c r="I17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75" s="33">
        <v>21145</v>
      </c>
      <c r="K175" s="42" t="s">
        <v>99</v>
      </c>
      <c r="L175" s="42" t="str">
        <f>PROPER(Base_Original!G175)</f>
        <v>Norte</v>
      </c>
      <c r="M175" s="43">
        <v>29000</v>
      </c>
      <c r="N175" s="43">
        <f>IF(ISNUMBER(Base_Original!I175),Base_Original!I175,IF(RIGHT(Base_Original!I175,7)=" moedas",VALUE(LEFT(Base_Original!I175,LEN(Base_Original!I175)-7)),Base_Original!I175))</f>
        <v>67500</v>
      </c>
      <c r="O175" s="44" t="str">
        <f>IF(AND($N175&gt;50000,$Q175="Sim"),"Negada","Aprovada")</f>
        <v>Aprovada</v>
      </c>
      <c r="P175" s="45">
        <f>IF(AND($T175="Negada",$O175="Negada"),0,IF($B175="Ativo",$U175*8%,"0"))</f>
        <v>1440</v>
      </c>
      <c r="Q175" s="46" t="str">
        <f>IF(OR(Base_Original!J175="Sim",Base_Original!J175="sim",Base_Original!J175="SIM"),"Sim",IF(OR(Base_Original!J175="Não",Base_Original!J175="não",Base_Original!J175="NÃO",Base_Original!J175="Nao"),"Não",IF(Base_Original!J175="","vazio",Base_Original!J175)))</f>
        <v>Não</v>
      </c>
      <c r="R175" s="46">
        <f>IF(ISNUMBER(Base_Original!K175),Base_Original!K175,IF(RIGHT(Base_Original!K175,9)=" batalhas",VALUE(LEFT(Base_Original!K175,LEN(Base_Original!K175)-9)),Base_Original!K175))</f>
        <v>25</v>
      </c>
      <c r="S175" s="42" t="str">
        <f>IF($R175="vazio","vazio",IF($R175&lt;=10,"Baixo",IF($R175&lt;=25,"Médio","Alto")))</f>
        <v>Médio</v>
      </c>
      <c r="T175" s="42" t="str">
        <f>IF(AND($S175="Alto",$Q175="Sim"),"Negada","Aprovada")</f>
        <v>Aprovada</v>
      </c>
      <c r="U175" s="43">
        <v>18000</v>
      </c>
    </row>
    <row r="176" spans="1:21">
      <c r="A176" s="47" t="s">
        <v>1030</v>
      </c>
      <c r="B176" s="37" t="str">
        <f>IF(Base_Original!A176="","vazio",IF(Base_Original!A176="ATIVO","Ativo",IF(Base_Original!A176="INATIVO","Inativo",Base_Original!A176)))</f>
        <v>Ativo</v>
      </c>
      <c r="C176" s="37" t="str">
        <f>PROPER(Base_Original!B176)</f>
        <v>Loras Lannister</v>
      </c>
      <c r="D176" s="38" t="s">
        <v>422</v>
      </c>
      <c r="E176" s="39" t="str">
        <f>IF($D176="","Vazio",IF(LEN(SUBSTITUTE(SUBSTITUTE($D176&amp;"",".",""),"-",""))&lt;&gt;11,"Inválido","OK"))</f>
        <v>OK</v>
      </c>
      <c r="F176" s="39" t="str">
        <f>IF($D176="","Vazio",IF(COUNTIF($D$2:$D$369,$D176)&gt;1,"Duplicado","Único"))</f>
        <v>Único</v>
      </c>
      <c r="G176" s="40" t="str">
        <f>IF(TRIM(Base_Original!D176)="","",SUBSTITUTE(TRIM(Base_Original!D176),"anos",""))</f>
        <v>49</v>
      </c>
      <c r="H176" s="50">
        <f>IF($J176="","Vazio",DATEDIF($J176,DATE(2026,9,10),"Y"))</f>
        <v>49</v>
      </c>
      <c r="I17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76" s="33">
        <v>28067</v>
      </c>
      <c r="K176" s="42" t="s">
        <v>44</v>
      </c>
      <c r="L176" s="42" t="str">
        <f>PROPER(Base_Original!G176)</f>
        <v>Ilhas De Ferro</v>
      </c>
      <c r="M176" s="43">
        <v>29800</v>
      </c>
      <c r="N176" s="43">
        <f>IF(ISNUMBER(Base_Original!I176),Base_Original!I176,IF(RIGHT(Base_Original!I176,7)=" moedas",VALUE(LEFT(Base_Original!I176,LEN(Base_Original!I176)-7)),Base_Original!I176))</f>
        <v>54500</v>
      </c>
      <c r="O176" s="44" t="str">
        <f>IF(AND($N176&gt;50000,$Q176="Sim"),"Negada","Aprovada")</f>
        <v>Aprovada</v>
      </c>
      <c r="P176" s="45">
        <f>IF(AND($T176="Negada",$O176="Negada"),0,IF($B176="Ativo",$U176*8%,"0"))</f>
        <v>5760</v>
      </c>
      <c r="Q176" s="46" t="str">
        <f>IF(OR(Base_Original!J176="Sim",Base_Original!J176="sim",Base_Original!J176="SIM"),"Sim",IF(OR(Base_Original!J176="Não",Base_Original!J176="não",Base_Original!J176="NÃO",Base_Original!J176="Nao"),"Não",IF(Base_Original!J176="","vazio",Base_Original!J176)))</f>
        <v>Não</v>
      </c>
      <c r="R176" s="46">
        <f>IF(ISNUMBER(Base_Original!K176),Base_Original!K176,IF(RIGHT(Base_Original!K176,9)=" batalhas",VALUE(LEFT(Base_Original!K176,LEN(Base_Original!K176)-9)),Base_Original!K176))</f>
        <v>34</v>
      </c>
      <c r="S176" s="42" t="str">
        <f>IF($R176="vazio","vazio",IF($R176&lt;=10,"Baixo",IF($R176&lt;=25,"Médio","Alto")))</f>
        <v>Alto</v>
      </c>
      <c r="T176" s="42" t="str">
        <f>IF(AND($S176="Alto",$Q176="Sim"),"Negada","Aprovada")</f>
        <v>Aprovada</v>
      </c>
      <c r="U176" s="43">
        <v>72000</v>
      </c>
    </row>
    <row r="177" spans="1:21">
      <c r="A177" s="47" t="s">
        <v>1031</v>
      </c>
      <c r="B177" s="37" t="str">
        <f>IF(Base_Original!A177="","vazio",IF(Base_Original!A177="ATIVO","Ativo",IF(Base_Original!A177="INATIVO","Inativo",Base_Original!A177)))</f>
        <v>Ativo</v>
      </c>
      <c r="C177" s="37" t="str">
        <f>PROPER(Base_Original!B177)</f>
        <v>Loras Manderly</v>
      </c>
      <c r="D177" s="38">
        <v>27800</v>
      </c>
      <c r="E177" s="39" t="str">
        <f>IF($D177="","Vazio",IF(LEN(SUBSTITUTE(SUBSTITUTE($D177&amp;"",".",""),"-",""))&lt;&gt;11,"Inválido","OK"))</f>
        <v>Inválido</v>
      </c>
      <c r="F177" s="39" t="str">
        <f>IF($D177="","Vazio",IF(COUNTIF($D$2:$D$369,$D177)&gt;1,"Duplicado","Único"))</f>
        <v>Único</v>
      </c>
      <c r="G177" s="40" t="str">
        <f>IF(TRIM(Base_Original!D177)="","",SUBSTITUTE(TRIM(Base_Original!D177),"anos",""))</f>
        <v>38</v>
      </c>
      <c r="H177" s="50">
        <f>IF($J177="","Vazio",DATEDIF($J177,DATE(2026,9,10),"Y"))</f>
        <v>38</v>
      </c>
      <c r="I17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77" s="33">
        <v>32152</v>
      </c>
      <c r="K177" s="42" t="s">
        <v>424</v>
      </c>
      <c r="L177" s="42" t="str">
        <f>PROPER(Base_Original!G177)</f>
        <v/>
      </c>
      <c r="M177" s="43">
        <v>2000</v>
      </c>
      <c r="N177" s="43">
        <f>IF(ISNUMBER(Base_Original!I177),Base_Original!I177,IF(RIGHT(Base_Original!I177,7)=" moedas",VALUE(LEFT(Base_Original!I177,LEN(Base_Original!I177)-7)),Base_Original!I177))</f>
        <v>60000</v>
      </c>
      <c r="O177" s="44" t="str">
        <f>IF(AND($N177&gt;50000,$Q177="Sim"),"Negada","Aprovada")</f>
        <v>Aprovada</v>
      </c>
      <c r="P177" s="45">
        <f>IF(AND($T177="Negada",$O177="Negada"),0,IF($B177="Ativo",$U177*8%,"0"))</f>
        <v>4320</v>
      </c>
      <c r="Q177" s="46" t="str">
        <f>IF(OR(Base_Original!J177="Sim",Base_Original!J177="sim",Base_Original!J177="SIM"),"Sim",IF(OR(Base_Original!J177="Não",Base_Original!J177="não",Base_Original!J177="NÃO",Base_Original!J177="Nao"),"Não",IF(Base_Original!J177="","vazio",Base_Original!J177)))</f>
        <v>Não</v>
      </c>
      <c r="R177" s="46">
        <f>IF(ISNUMBER(Base_Original!K177),Base_Original!K177,IF(RIGHT(Base_Original!K177,9)=" batalhas",VALUE(LEFT(Base_Original!K177,LEN(Base_Original!K177)-9)),Base_Original!K177))</f>
        <v>18</v>
      </c>
      <c r="S177" s="42" t="str">
        <f>IF($R177="vazio","vazio",IF($R177&lt;=10,"Baixo",IF($R177&lt;=25,"Médio","Alto")))</f>
        <v>Médio</v>
      </c>
      <c r="T177" s="42" t="str">
        <f>IF(AND($S177="Alto",$Q177="Sim"),"Negada","Aprovada")</f>
        <v>Aprovada</v>
      </c>
      <c r="U177" s="43">
        <v>54000</v>
      </c>
    </row>
    <row r="178" spans="1:21">
      <c r="A178" s="47" t="s">
        <v>1032</v>
      </c>
      <c r="B178" s="37" t="str">
        <f>IF(Base_Original!A179="","vazio",IF(Base_Original!A179="ATIVO","Ativo",IF(Base_Original!A179="INATIVO","Inativo",Base_Original!A179)))</f>
        <v>Inativo</v>
      </c>
      <c r="C178" s="37" t="str">
        <f>PROPER(Base_Original!B179)</f>
        <v>Loras Payne</v>
      </c>
      <c r="D178" s="38" t="s">
        <v>427</v>
      </c>
      <c r="E178" s="39" t="str">
        <f>IF($D178="","Vazio",IF(LEN(SUBSTITUTE(SUBSTITUTE($D178&amp;"",".",""),"-",""))&lt;&gt;11,"Inválido","OK"))</f>
        <v>OK</v>
      </c>
      <c r="F178" s="39" t="str">
        <f>IF($D178="","Vazio",IF(COUNTIF($D$2:$D$369,$D178)&gt;1,"Duplicado","Único"))</f>
        <v>Duplicado</v>
      </c>
      <c r="G178" s="40" t="str">
        <f>IF(TRIM(Base_Original!D178)="","",SUBSTITUTE(TRIM(Base_Original!D178),"anos",""))</f>
        <v>30</v>
      </c>
      <c r="H178" s="50">
        <f>IF($J178="","Vazio",DATEDIF($J178,DATE(2026,9,10),"Y"))</f>
        <v>30</v>
      </c>
      <c r="I17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78" s="33">
        <v>35200</v>
      </c>
      <c r="K178" s="42" t="s">
        <v>62</v>
      </c>
      <c r="L178" s="42" t="str">
        <f>PROPER(Base_Original!G179)</f>
        <v>Essos</v>
      </c>
      <c r="M178" s="43">
        <v>26500</v>
      </c>
      <c r="N178" s="43">
        <f>IF(ISNUMBER(Base_Original!I179),Base_Original!I179,IF(RIGHT(Base_Original!I179,7)=" moedas",VALUE(LEFT(Base_Original!I179,LEN(Base_Original!I179)-7)),Base_Original!I179))</f>
        <v>14500</v>
      </c>
      <c r="O178" s="44" t="str">
        <f>IF(AND($N178&gt;50000,$Q178="Sim"),"Negada","Aprovada")</f>
        <v>Aprovada</v>
      </c>
      <c r="P178" s="45" t="str">
        <f>IF(AND($T178="Negada",$O178="Negada"),0,IF($B178="Ativo",$U178*8%,"0"))</f>
        <v>0</v>
      </c>
      <c r="Q178" s="46">
        <f>IF(OR(Base_Original!J179="Sim",Base_Original!J179="sim",Base_Original!J179="SIM"),"Sim",IF(OR(Base_Original!J179="Não",Base_Original!J179="não",Base_Original!J179="NÃO",Base_Original!J179="Nao"),"Não",IF(Base_Original!J179="","vazio",Base_Original!J179)))</f>
        <v>0</v>
      </c>
      <c r="R178" s="46">
        <f>IF(ISNUMBER(Base_Original!K179),Base_Original!K179,IF(RIGHT(Base_Original!K179,9)=" batalhas",VALUE(LEFT(Base_Original!K179,LEN(Base_Original!K179)-9)),Base_Original!K179))</f>
        <v>15</v>
      </c>
      <c r="S178" s="42" t="str">
        <f>IF($R178="vazio","vazio",IF($R178&lt;=10,"Baixo",IF($R178&lt;=25,"Médio","Alto")))</f>
        <v>Médio</v>
      </c>
      <c r="T178" s="42" t="str">
        <f>IF(AND($S178="Alto",$Q178="Sim"),"Negada","Aprovada")</f>
        <v>Aprovada</v>
      </c>
      <c r="U178" s="43">
        <v>39000</v>
      </c>
    </row>
    <row r="179" spans="1:21">
      <c r="A179" s="47" t="s">
        <v>1033</v>
      </c>
      <c r="B179" s="37" t="str">
        <f>IF(Base_Original!A178="","vazio",IF(Base_Original!A178="ATIVO","Ativo",IF(Base_Original!A178="INATIVO","Inativo",Base_Original!A178)))</f>
        <v>Inativo</v>
      </c>
      <c r="C179" s="37" t="str">
        <f>PROPER(Base_Original!B178)</f>
        <v>Loras Payne</v>
      </c>
      <c r="D179" s="38" t="s">
        <v>427</v>
      </c>
      <c r="E179" s="39" t="str">
        <f>IF($D179="","Vazio",IF(LEN(SUBSTITUTE(SUBSTITUTE($D179&amp;"",".",""),"-",""))&lt;&gt;11,"Inválido","OK"))</f>
        <v>OK</v>
      </c>
      <c r="F179" s="39" t="str">
        <f>IF($D179="","Vazio",IF(COUNTIF($D$2:$D$369,$D179)&gt;1,"Duplicado","Único"))</f>
        <v>Duplicado</v>
      </c>
      <c r="G179" s="40" t="str">
        <f>IF(TRIM(Base_Original!D179)="","",SUBSTITUTE(TRIM(Base_Original!D179),"anos",""))</f>
        <v>30</v>
      </c>
      <c r="H179" s="50">
        <f>IF($J179="","Vazio",DATEDIF($J179,DATE(2026,9,10),"Y"))</f>
        <v>30</v>
      </c>
      <c r="I17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79" s="33">
        <v>35200</v>
      </c>
      <c r="K179" s="42" t="s">
        <v>62</v>
      </c>
      <c r="L179" s="42" t="str">
        <f>PROPER(Base_Original!G178)</f>
        <v>Essos</v>
      </c>
      <c r="M179" s="43">
        <v>26500</v>
      </c>
      <c r="N179" s="43">
        <f>IF(ISNUMBER(Base_Original!I178),Base_Original!I178,IF(RIGHT(Base_Original!I178,7)=" moedas",VALUE(LEFT(Base_Original!I178,LEN(Base_Original!I178)-7)),Base_Original!I178))</f>
        <v>14500</v>
      </c>
      <c r="O179" s="44" t="str">
        <f>IF(AND($N179&gt;50000,$Q179="Sim"),"Negada","Aprovada")</f>
        <v>Aprovada</v>
      </c>
      <c r="P179" s="45" t="str">
        <f>IF(AND($T179="Negada",$O179="Negada"),0,IF($B179="Ativo",$U179*8%,"0"))</f>
        <v>0</v>
      </c>
      <c r="Q179" s="46">
        <f>IF(OR(Base_Original!J178="Sim",Base_Original!J178="sim",Base_Original!J178="SIM"),"Sim",IF(OR(Base_Original!J178="Não",Base_Original!J178="não",Base_Original!J178="NÃO",Base_Original!J178="Nao"),"Não",IF(Base_Original!J178="","vazio",Base_Original!J178)))</f>
        <v>0</v>
      </c>
      <c r="R179" s="46">
        <f>IF(ISNUMBER(Base_Original!K178),Base_Original!K178,IF(RIGHT(Base_Original!K178,9)=" batalhas",VALUE(LEFT(Base_Original!K178,LEN(Base_Original!K178)-9)),Base_Original!K178))</f>
        <v>15</v>
      </c>
      <c r="S179" s="42" t="str">
        <f>IF($R179="vazio","vazio",IF($R179&lt;=10,"Baixo",IF($R179&lt;=25,"Médio","Alto")))</f>
        <v>Médio</v>
      </c>
      <c r="T179" s="42" t="str">
        <f>IF(AND($S179="Alto",$Q179="Sim"),"Negada","Aprovada")</f>
        <v>Aprovada</v>
      </c>
      <c r="U179" s="43">
        <v>65500</v>
      </c>
    </row>
    <row r="180" spans="1:21">
      <c r="A180" s="47" t="s">
        <v>1034</v>
      </c>
      <c r="B180" s="37" t="str">
        <f>IF(Base_Original!A180="","vazio",IF(Base_Original!A180="ATIVO","Ativo",IF(Base_Original!A180="INATIVO","Inativo",Base_Original!A180)))</f>
        <v>Ativo</v>
      </c>
      <c r="C180" s="37" t="str">
        <f>PROPER(Base_Original!B180)</f>
        <v>Lyanna Florent</v>
      </c>
      <c r="D180" s="38">
        <v>6300</v>
      </c>
      <c r="E180" s="39" t="str">
        <f>IF($D180="","Vazio",IF(LEN(SUBSTITUTE(SUBSTITUTE($D180&amp;"",".",""),"-",""))&lt;&gt;11,"Inválido","OK"))</f>
        <v>Inválido</v>
      </c>
      <c r="F180" s="39" t="str">
        <f>IF($D180="","Vazio",IF(COUNTIF($D$2:$D$369,$D180)&gt;1,"Duplicado","Único"))</f>
        <v>Único</v>
      </c>
      <c r="G180" s="40" t="str">
        <f>IF(TRIM(Base_Original!D180)="","",SUBSTITUTE(TRIM(Base_Original!D180),"anos",""))</f>
        <v>68</v>
      </c>
      <c r="H180" s="50" t="s">
        <v>909</v>
      </c>
      <c r="I180" s="51" t="s">
        <v>909</v>
      </c>
      <c r="J180" s="33"/>
      <c r="K180" s="42" t="s">
        <v>69</v>
      </c>
      <c r="L180" s="42" t="str">
        <f>PROPER(Base_Original!G180)</f>
        <v>Terras Da Coroa</v>
      </c>
      <c r="M180" s="43">
        <v>19900</v>
      </c>
      <c r="N180" s="43">
        <f>IF(ISNUMBER(Base_Original!I180),Base_Original!I180,IF(RIGHT(Base_Original!I180,7)=" moedas",VALUE(LEFT(Base_Original!I180,LEN(Base_Original!I180)-7)),Base_Original!I180))</f>
        <v>35000</v>
      </c>
      <c r="O180" s="44" t="str">
        <f>IF(AND($N180&gt;50000,$Q180="Sim"),"Negada","Aprovada")</f>
        <v>Aprovada</v>
      </c>
      <c r="P180" s="45">
        <f>IF(AND($T180="Negada",$O180="Negada"),0,IF($B180="Ativo",$U180*8%,"0"))</f>
        <v>4760</v>
      </c>
      <c r="Q180" s="46" t="str">
        <f>IF(OR(Base_Original!J180="Sim",Base_Original!J180="sim",Base_Original!J180="SIM"),"Sim",IF(OR(Base_Original!J180="Não",Base_Original!J180="não",Base_Original!J180="NÃO",Base_Original!J180="Nao"),"Não",IF(Base_Original!J180="","vazio",Base_Original!J180)))</f>
        <v>Não</v>
      </c>
      <c r="R180" s="46">
        <f>IF(ISNUMBER(Base_Original!K180),Base_Original!K180,IF(RIGHT(Base_Original!K180,9)=" batalhas",VALUE(LEFT(Base_Original!K180,LEN(Base_Original!K180)-9)),Base_Original!K180))</f>
        <v>25</v>
      </c>
      <c r="S180" s="42" t="str">
        <f>IF($R180="vazio","vazio",IF($R180&lt;=10,"Baixo",IF($R180&lt;=25,"Médio","Alto")))</f>
        <v>Médio</v>
      </c>
      <c r="T180" s="42" t="str">
        <f>IF(AND($S180="Alto",$Q180="Sim"),"Negada","Aprovada")</f>
        <v>Aprovada</v>
      </c>
      <c r="U180" s="43">
        <v>59500</v>
      </c>
    </row>
    <row r="181" spans="1:21">
      <c r="A181" s="47" t="s">
        <v>1035</v>
      </c>
      <c r="B181" s="37" t="str">
        <f>IF(Base_Original!A181="","vazio",IF(Base_Original!A181="ATIVO","Ativo",IF(Base_Original!A181="INATIVO","Inativo",Base_Original!A181)))</f>
        <v>Ativo</v>
      </c>
      <c r="C181" s="37" t="str">
        <f>PROPER(Base_Original!B181)</f>
        <v>Lyanna Marbrand</v>
      </c>
      <c r="D181" s="38" t="s">
        <v>430</v>
      </c>
      <c r="E181" s="39" t="str">
        <f>IF($D181="","Vazio",IF(LEN(SUBSTITUTE(SUBSTITUTE($D181&amp;"",".",""),"-",""))&lt;&gt;11,"Inválido","OK"))</f>
        <v>OK</v>
      </c>
      <c r="F181" s="39" t="str">
        <f>IF($D181="","Vazio",IF(COUNTIF($D$2:$D$369,$D181)&gt;1,"Duplicado","Único"))</f>
        <v>Duplicado</v>
      </c>
      <c r="G181" s="40" t="str">
        <f>IF(TRIM(Base_Original!D181)="","",SUBSTITUTE(TRIM(Base_Original!D181),"anos",""))</f>
        <v>27</v>
      </c>
      <c r="H181" s="50">
        <f>IF($J181="","Vazio",DATEDIF($J181,DATE(2026,9,10),"Y"))</f>
        <v>27</v>
      </c>
      <c r="I18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81" s="33">
        <v>36308</v>
      </c>
      <c r="K181" s="42" t="s">
        <v>25</v>
      </c>
      <c r="L181" s="42" t="str">
        <f>PROPER(Base_Original!G181)</f>
        <v>Terras Fluviais</v>
      </c>
      <c r="M181" s="43">
        <v>5300</v>
      </c>
      <c r="N181" s="43">
        <f>IF(ISNUMBER(Base_Original!I181),Base_Original!I181,IF(RIGHT(Base_Original!I181,7)=" moedas",VALUE(LEFT(Base_Original!I181,LEN(Base_Original!I181)-7)),Base_Original!I181))</f>
        <v>22000</v>
      </c>
      <c r="O181" s="44" t="str">
        <f>IF(AND($N181&gt;50000,$Q181="Sim"),"Negada","Aprovada")</f>
        <v>Aprovada</v>
      </c>
      <c r="P181" s="45">
        <f>IF(AND($T181="Negada",$O181="Negada"),0,IF($B181="Ativo",$U181*8%,"0"))</f>
        <v>2280</v>
      </c>
      <c r="Q181" s="46" t="str">
        <f>IF(OR(Base_Original!J181="Sim",Base_Original!J181="sim",Base_Original!J181="SIM"),"Sim",IF(OR(Base_Original!J181="Não",Base_Original!J181="não",Base_Original!J181="NÃO",Base_Original!J181="Nao"),"Não",IF(Base_Original!J181="","vazio",Base_Original!J181)))</f>
        <v>Não</v>
      </c>
      <c r="R181" s="46">
        <f>IF(ISNUMBER(Base_Original!K181),Base_Original!K181,IF(RIGHT(Base_Original!K181,9)=" batalhas",VALUE(LEFT(Base_Original!K181,LEN(Base_Original!K181)-9)),Base_Original!K181))</f>
        <v>11</v>
      </c>
      <c r="S181" s="42" t="str">
        <f>IF($R181="vazio","vazio",IF($R181&lt;=10,"Baixo",IF($R181&lt;=25,"Médio","Alto")))</f>
        <v>Médio</v>
      </c>
      <c r="T181" s="42" t="str">
        <f>IF(AND($S181="Alto",$Q181="Sim"),"Negada","Aprovada")</f>
        <v>Aprovada</v>
      </c>
      <c r="U181" s="43">
        <v>28500</v>
      </c>
    </row>
    <row r="182" spans="1:21">
      <c r="A182" s="47" t="s">
        <v>1036</v>
      </c>
      <c r="B182" s="37" t="str">
        <f>IF(Base_Original!A182="","vazio",IF(Base_Original!A182="ATIVO","Ativo",IF(Base_Original!A182="INATIVO","Inativo",Base_Original!A182)))</f>
        <v>Ativo</v>
      </c>
      <c r="C182" s="37" t="str">
        <f>PROPER(Base_Original!B182)</f>
        <v>Lyanna Marbrand</v>
      </c>
      <c r="D182" s="38" t="s">
        <v>430</v>
      </c>
      <c r="E182" s="39" t="str">
        <f>IF($D182="","Vazio",IF(LEN(SUBSTITUTE(SUBSTITUTE($D182&amp;"",".",""),"-",""))&lt;&gt;11,"Inválido","OK"))</f>
        <v>OK</v>
      </c>
      <c r="F182" s="39" t="str">
        <f>IF($D182="","Vazio",IF(COUNTIF($D$2:$D$369,$D182)&gt;1,"Duplicado","Único"))</f>
        <v>Duplicado</v>
      </c>
      <c r="G182" s="40" t="str">
        <f>IF(TRIM(Base_Original!D182)="","",SUBSTITUTE(TRIM(Base_Original!D182),"anos",""))</f>
        <v>27</v>
      </c>
      <c r="H182" s="50">
        <f>IF($J182="","Vazio",DATEDIF($J182,DATE(2026,9,10),"Y"))</f>
        <v>27</v>
      </c>
      <c r="I18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82" s="33">
        <v>36308</v>
      </c>
      <c r="K182" s="42" t="s">
        <v>25</v>
      </c>
      <c r="L182" s="42" t="str">
        <f>PROPER(Base_Original!G182)</f>
        <v>Terras Fluviais</v>
      </c>
      <c r="M182" s="43">
        <v>5300</v>
      </c>
      <c r="N182" s="43">
        <f>IF(ISNUMBER(Base_Original!I182),Base_Original!I182,IF(RIGHT(Base_Original!I182,7)=" moedas",VALUE(LEFT(Base_Original!I182,LEN(Base_Original!I182)-7)),Base_Original!I182))</f>
        <v>22000</v>
      </c>
      <c r="O182" s="44" t="str">
        <f>IF(AND($N182&gt;50000,$Q182="Sim"),"Negada","Aprovada")</f>
        <v>Aprovada</v>
      </c>
      <c r="P182" s="45">
        <f>IF(AND($T182="Negada",$O182="Negada"),0,IF($B182="Ativo",$U182*8%,"0"))</f>
        <v>360</v>
      </c>
      <c r="Q182" s="46" t="str">
        <f>IF(OR(Base_Original!J182="Sim",Base_Original!J182="sim",Base_Original!J182="SIM"),"Sim",IF(OR(Base_Original!J182="Não",Base_Original!J182="não",Base_Original!J182="NÃO",Base_Original!J182="Nao"),"Não",IF(Base_Original!J182="","vazio",Base_Original!J182)))</f>
        <v>Não</v>
      </c>
      <c r="R182" s="46">
        <f>IF(ISNUMBER(Base_Original!K182),Base_Original!K182,IF(RIGHT(Base_Original!K182,9)=" batalhas",VALUE(LEFT(Base_Original!K182,LEN(Base_Original!K182)-9)),Base_Original!K182))</f>
        <v>11</v>
      </c>
      <c r="S182" s="42" t="str">
        <f>IF($R182="vazio","vazio",IF($R182&lt;=10,"Baixo",IF($R182&lt;=25,"Médio","Alto")))</f>
        <v>Médio</v>
      </c>
      <c r="T182" s="42" t="str">
        <f>IF(AND($S182="Alto",$Q182="Sim"),"Negada","Aprovada")</f>
        <v>Aprovada</v>
      </c>
      <c r="U182" s="43">
        <v>4500</v>
      </c>
    </row>
    <row r="183" spans="1:21">
      <c r="A183" s="47" t="s">
        <v>1037</v>
      </c>
      <c r="B183" s="37" t="str">
        <f>IF(Base_Original!A183="","vazio",IF(Base_Original!A183="ATIVO","Ativo",IF(Base_Original!A183="INATIVO","Inativo",Base_Original!A183)))</f>
        <v>Ativo</v>
      </c>
      <c r="C183" s="37" t="str">
        <f>PROPER(Base_Original!B183)</f>
        <v>Lyanna Seaworth</v>
      </c>
      <c r="D183" s="38" t="s">
        <v>433</v>
      </c>
      <c r="E183" s="39" t="str">
        <f>IF($D183="","Vazio",IF(LEN(SUBSTITUTE(SUBSTITUTE($D183&amp;"",".",""),"-",""))&lt;&gt;11,"Inválido","OK"))</f>
        <v>OK</v>
      </c>
      <c r="F183" s="39" t="str">
        <f>IF($D183="","Vazio",IF(COUNTIF($D$2:$D$369,$D183)&gt;1,"Duplicado","Único"))</f>
        <v>Único</v>
      </c>
      <c r="G183" s="40" t="str">
        <f>IF(TRIM(Base_Original!D183)="","",SUBSTITUTE(TRIM(Base_Original!D183),"anos",""))</f>
        <v>69</v>
      </c>
      <c r="H183" s="50" t="s">
        <v>909</v>
      </c>
      <c r="I183" s="51" t="s">
        <v>909</v>
      </c>
      <c r="J183" s="33"/>
      <c r="K183" s="42" t="s">
        <v>62</v>
      </c>
      <c r="L183" s="42" t="str">
        <f>PROPER(Base_Original!G183)</f>
        <v>Essos</v>
      </c>
      <c r="M183" s="43">
        <v>4500</v>
      </c>
      <c r="N183" s="43">
        <f>IF(ISNUMBER(Base_Original!I183),Base_Original!I183,IF(RIGHT(Base_Original!I183,7)=" moedas",VALUE(LEFT(Base_Original!I183,LEN(Base_Original!I183)-7)),Base_Original!I183))</f>
        <v>0</v>
      </c>
      <c r="O183" s="44" t="str">
        <f>IF(AND($N183&gt;50000,$Q183="Sim"),"Negada","Aprovada")</f>
        <v>Aprovada</v>
      </c>
      <c r="P183" s="45">
        <f>IF(AND($T183="Negada",$O183="Negada"),0,IF($B183="Ativo",$U183*8%,"0"))</f>
        <v>4520</v>
      </c>
      <c r="Q183" s="46" t="str">
        <f>IF(OR(Base_Original!J183="Sim",Base_Original!J183="sim",Base_Original!J183="SIM"),"Sim",IF(OR(Base_Original!J183="Não",Base_Original!J183="não",Base_Original!J183="NÃO",Base_Original!J183="Nao"),"Não",IF(Base_Original!J183="","vazio",Base_Original!J183)))</f>
        <v>Sim</v>
      </c>
      <c r="R183" s="46">
        <f>IF(ISNUMBER(Base_Original!K183),Base_Original!K183,IF(RIGHT(Base_Original!K183,9)=" batalhas",VALUE(LEFT(Base_Original!K183,LEN(Base_Original!K183)-9)),Base_Original!K183))</f>
        <v>32</v>
      </c>
      <c r="S183" s="42" t="str">
        <f>IF($R183="vazio","vazio",IF($R183&lt;=10,"Baixo",IF($R183&lt;=25,"Médio","Alto")))</f>
        <v>Alto</v>
      </c>
      <c r="T183" s="42" t="str">
        <f>IF(AND($S183="Alto",$Q183="Sim"),"Negada","Aprovada")</f>
        <v>Negada</v>
      </c>
      <c r="U183" s="43">
        <v>56500</v>
      </c>
    </row>
    <row r="184" spans="1:21">
      <c r="A184" s="47" t="s">
        <v>1038</v>
      </c>
      <c r="B184" s="37" t="str">
        <f>IF(Base_Original!A184="","vazio",IF(Base_Original!A184="ATIVO","Ativo",IF(Base_Original!A184="INATIVO","Inativo",Base_Original!A184)))</f>
        <v>Ativo</v>
      </c>
      <c r="C184" s="37" t="str">
        <f>PROPER(Base_Original!B184)</f>
        <v>Lyanna Stark</v>
      </c>
      <c r="D184" s="38" t="s">
        <v>435</v>
      </c>
      <c r="E184" s="39" t="str">
        <f>IF($D184="","Vazio",IF(LEN(SUBSTITUTE(SUBSTITUTE($D184&amp;"",".",""),"-",""))&lt;&gt;11,"Inválido","OK"))</f>
        <v>OK</v>
      </c>
      <c r="F184" s="39" t="str">
        <f>IF($D184="","Vazio",IF(COUNTIF($D$2:$D$369,$D184)&gt;1,"Duplicado","Único"))</f>
        <v>Único</v>
      </c>
      <c r="G184" s="40" t="str">
        <f>IF(TRIM(Base_Original!D184)="","",SUBSTITUTE(TRIM(Base_Original!D184),"anos",""))</f>
        <v>45</v>
      </c>
      <c r="H184" s="50">
        <f>IF($J184="","Vazio",DATEDIF($J184,DATE(2026,9,10),"Y"))</f>
        <v>45</v>
      </c>
      <c r="I18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84" s="33">
        <v>29769</v>
      </c>
      <c r="K184" s="42" t="s">
        <v>180</v>
      </c>
      <c r="L184" s="42" t="str">
        <f>PROPER(Base_Original!G184)</f>
        <v>Terras Da Tempestade</v>
      </c>
      <c r="M184" s="43">
        <v>24400</v>
      </c>
      <c r="N184" s="43">
        <f>IF(ISNUMBER(Base_Original!I184),Base_Original!I184,IF(RIGHT(Base_Original!I184,7)=" moedas",VALUE(LEFT(Base_Original!I184,LEN(Base_Original!I184)-7)),Base_Original!I184))</f>
        <v>7500</v>
      </c>
      <c r="O184" s="44" t="str">
        <f>IF(AND($N184&gt;50000,$Q184="Sim"),"Negada","Aprovada")</f>
        <v>Aprovada</v>
      </c>
      <c r="P184" s="45">
        <f>IF(AND($T184="Negada",$O184="Negada"),0,IF($B184="Ativo",$U184*8%,"0"))</f>
        <v>7600</v>
      </c>
      <c r="Q184" s="46" t="str">
        <f>IF(OR(Base_Original!J184="Sim",Base_Original!J184="sim",Base_Original!J184="SIM"),"Sim",IF(OR(Base_Original!J184="Não",Base_Original!J184="não",Base_Original!J184="NÃO",Base_Original!J184="Nao"),"Não",IF(Base_Original!J184="","vazio",Base_Original!J184)))</f>
        <v>Não</v>
      </c>
      <c r="R184" s="46">
        <f>IF(ISNUMBER(Base_Original!K184),Base_Original!K184,IF(RIGHT(Base_Original!K184,9)=" batalhas",VALUE(LEFT(Base_Original!K184,LEN(Base_Original!K184)-9)),Base_Original!K184))</f>
        <v>13</v>
      </c>
      <c r="S184" s="42" t="str">
        <f>IF($R184="vazio","vazio",IF($R184&lt;=10,"Baixo",IF($R184&lt;=25,"Médio","Alto")))</f>
        <v>Médio</v>
      </c>
      <c r="T184" s="42" t="str">
        <f>IF(AND($S184="Alto",$Q184="Sim"),"Negada","Aprovada")</f>
        <v>Aprovada</v>
      </c>
      <c r="U184" s="43">
        <v>95000</v>
      </c>
    </row>
    <row r="185" spans="1:21">
      <c r="A185" s="47" t="s">
        <v>1039</v>
      </c>
      <c r="B185" s="37" t="str">
        <f>IF(Base_Original!A185="","vazio",IF(Base_Original!A185="ATIVO","Ativo",IF(Base_Original!A185="INATIVO","Inativo",Base_Original!A185)))</f>
        <v>Ativo</v>
      </c>
      <c r="C185" s="37" t="str">
        <f>PROPER(Base_Original!B185)</f>
        <v>Lyanna Swyft</v>
      </c>
      <c r="D185" s="38">
        <v>18000</v>
      </c>
      <c r="E185" s="39" t="str">
        <f>IF($D185="","Vazio",IF(LEN(SUBSTITUTE(SUBSTITUTE($D185&amp;"",".",""),"-",""))&lt;&gt;11,"Inválido","OK"))</f>
        <v>Inválido</v>
      </c>
      <c r="F185" s="39" t="str">
        <f>IF($D185="","Vazio",IF(COUNTIF($D$2:$D$369,$D185)&gt;1,"Duplicado","Único"))</f>
        <v>Único</v>
      </c>
      <c r="G185" s="40" t="str">
        <f>IF(TRIM(Base_Original!D185)="","",SUBSTITUTE(TRIM(Base_Original!D185),"anos",""))</f>
        <v>29</v>
      </c>
      <c r="H185" s="50">
        <f>IF($J185="","Vazio",DATEDIF($J185,DATE(2026,9,10),"Y"))</f>
        <v>29</v>
      </c>
      <c r="I18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85" s="33">
        <v>35344</v>
      </c>
      <c r="K185" s="42" t="s">
        <v>51</v>
      </c>
      <c r="L185" s="42" t="str">
        <f>PROPER(Base_Original!G185)</f>
        <v>Vale</v>
      </c>
      <c r="M185" s="43">
        <v>19900</v>
      </c>
      <c r="N185" s="43">
        <f>IF(ISNUMBER(Base_Original!I185),Base_Original!I185,IF(RIGHT(Base_Original!I185,7)=" moedas",VALUE(LEFT(Base_Original!I185,LEN(Base_Original!I185)-7)),Base_Original!I185))</f>
        <v>49500</v>
      </c>
      <c r="O185" s="44" t="str">
        <f>IF(AND($N185&gt;50000,$Q185="Sim"),"Negada","Aprovada")</f>
        <v>Aprovada</v>
      </c>
      <c r="P185" s="45">
        <f>IF(AND($T185="Negada",$O185="Negada"),0,IF($B185="Ativo",$U185*8%,"0"))</f>
        <v>1840</v>
      </c>
      <c r="Q185" s="46" t="str">
        <f>IF(OR(Base_Original!J185="Sim",Base_Original!J185="sim",Base_Original!J185="SIM"),"Sim",IF(OR(Base_Original!J185="Não",Base_Original!J185="não",Base_Original!J185="NÃO",Base_Original!J185="Nao"),"Não",IF(Base_Original!J185="","vazio",Base_Original!J185)))</f>
        <v>Sim</v>
      </c>
      <c r="R185" s="46">
        <f>IF(ISNUMBER(Base_Original!K185),Base_Original!K185,IF(RIGHT(Base_Original!K185,9)=" batalhas",VALUE(LEFT(Base_Original!K185,LEN(Base_Original!K185)-9)),Base_Original!K185))</f>
        <v>27</v>
      </c>
      <c r="S185" s="42" t="str">
        <f>IF($R185="vazio","vazio",IF($R185&lt;=10,"Baixo",IF($R185&lt;=25,"Médio","Alto")))</f>
        <v>Alto</v>
      </c>
      <c r="T185" s="42" t="str">
        <f>IF(AND($S185="Alto",$Q185="Sim"),"Negada","Aprovada")</f>
        <v>Negada</v>
      </c>
      <c r="U185" s="43">
        <v>23000</v>
      </c>
    </row>
    <row r="186" spans="1:21">
      <c r="A186" s="47" t="s">
        <v>1040</v>
      </c>
      <c r="B186" s="37" t="str">
        <f>IF(Base_Original!A186="","vazio",IF(Base_Original!A186="ATIVO","Ativo",IF(Base_Original!A186="INATIVO","Inativo",Base_Original!A186)))</f>
        <v>Ativo</v>
      </c>
      <c r="C186" s="37" t="str">
        <f>PROPER(Base_Original!B186)</f>
        <v>Lyanna Tarly</v>
      </c>
      <c r="D186" s="38" t="s">
        <v>438</v>
      </c>
      <c r="E186" s="39" t="str">
        <f>IF($D186="","Vazio",IF(LEN(SUBSTITUTE(SUBSTITUTE($D186&amp;"",".",""),"-",""))&lt;&gt;11,"Inválido","OK"))</f>
        <v>OK</v>
      </c>
      <c r="F186" s="39" t="str">
        <f>IF($D186="","Vazio",IF(COUNTIF($D$2:$D$369,$D186)&gt;1,"Duplicado","Único"))</f>
        <v>Único</v>
      </c>
      <c r="G186" s="40" t="str">
        <f>IF(TRIM(Base_Original!D186)="","",SUBSTITUTE(TRIM(Base_Original!D186),"anos",""))</f>
        <v>28</v>
      </c>
      <c r="H186" s="50" t="s">
        <v>909</v>
      </c>
      <c r="I186" s="51" t="s">
        <v>909</v>
      </c>
      <c r="J186" s="33"/>
      <c r="K186" s="42" t="s">
        <v>62</v>
      </c>
      <c r="L186" s="42" t="str">
        <f>PROPER(Base_Original!G186)</f>
        <v>Essos</v>
      </c>
      <c r="M186" s="43">
        <v>14500</v>
      </c>
      <c r="N186" s="43">
        <f>IF(ISNUMBER(Base_Original!I186),Base_Original!I186,IF(RIGHT(Base_Original!I186,7)=" moedas",VALUE(LEFT(Base_Original!I186,LEN(Base_Original!I186)-7)),Base_Original!I186))</f>
        <v>39500</v>
      </c>
      <c r="O186" s="44" t="str">
        <f>IF(AND($N186&gt;50000,$Q186="Sim"),"Negada","Aprovada")</f>
        <v>Aprovada</v>
      </c>
      <c r="P186" s="45">
        <f>IF(AND($T186="Negada",$O186="Negada"),0,IF($B186="Ativo",$U186*8%,"0"))</f>
        <v>2560</v>
      </c>
      <c r="Q186" s="46" t="str">
        <f>IF(OR(Base_Original!J186="Sim",Base_Original!J186="sim",Base_Original!J186="SIM"),"Sim",IF(OR(Base_Original!J186="Não",Base_Original!J186="não",Base_Original!J186="NÃO",Base_Original!J186="Nao"),"Não",IF(Base_Original!J186="","vazio",Base_Original!J186)))</f>
        <v>Não</v>
      </c>
      <c r="R186" s="46">
        <f>IF(ISNUMBER(Base_Original!K186),Base_Original!K186,IF(RIGHT(Base_Original!K186,9)=" batalhas",VALUE(LEFT(Base_Original!K186,LEN(Base_Original!K186)-9)),Base_Original!K186))</f>
        <v>18</v>
      </c>
      <c r="S186" s="42" t="str">
        <f>IF($R186="vazio","vazio",IF($R186&lt;=10,"Baixo",IF($R186&lt;=25,"Médio","Alto")))</f>
        <v>Médio</v>
      </c>
      <c r="T186" s="42" t="str">
        <f>IF(AND($S186="Alto",$Q186="Sim"),"Negada","Aprovada")</f>
        <v>Aprovada</v>
      </c>
      <c r="U186" s="43">
        <v>32000</v>
      </c>
    </row>
    <row r="187" spans="1:21">
      <c r="A187" s="47" t="s">
        <v>1041</v>
      </c>
      <c r="B187" s="37" t="str">
        <f>IF(Base_Original!A187="","vazio",IF(Base_Original!A187="ATIVO","Ativo",IF(Base_Original!A187="INATIVO","Inativo",Base_Original!A187)))</f>
        <v>Inativo</v>
      </c>
      <c r="C187" s="37" t="str">
        <f>PROPER(Base_Original!B187)</f>
        <v>Lyanna Tarth</v>
      </c>
      <c r="D187" s="38" t="s">
        <v>440</v>
      </c>
      <c r="E187" s="39" t="str">
        <f>IF($D187="","Vazio",IF(LEN(SUBSTITUTE(SUBSTITUTE($D187&amp;"",".",""),"-",""))&lt;&gt;11,"Inválido","OK"))</f>
        <v>OK</v>
      </c>
      <c r="F187" s="39" t="str">
        <f>IF($D187="","Vazio",IF(COUNTIF($D$2:$D$369,$D187)&gt;1,"Duplicado","Único"))</f>
        <v>Único</v>
      </c>
      <c r="G187" s="40" t="str">
        <f>IF(TRIM(Base_Original!D187)="","",SUBSTITUTE(TRIM(Base_Original!D187),"anos",""))</f>
        <v>73</v>
      </c>
      <c r="H187" s="50" t="s">
        <v>909</v>
      </c>
      <c r="I187" s="51" t="s">
        <v>909</v>
      </c>
      <c r="J187" s="33"/>
      <c r="K187" s="42" t="s">
        <v>40</v>
      </c>
      <c r="L187" s="42" t="str">
        <f>PROPER(Base_Original!G187)</f>
        <v>Norte</v>
      </c>
      <c r="M187" s="43">
        <v>19900</v>
      </c>
      <c r="N187" s="43">
        <f>IF(ISNUMBER(Base_Original!I187),Base_Original!I187,IF(RIGHT(Base_Original!I187,7)=" moedas",VALUE(LEFT(Base_Original!I187,LEN(Base_Original!I187)-7)),Base_Original!I187))</f>
        <v>47000</v>
      </c>
      <c r="O187" s="44" t="str">
        <f>IF(AND($N187&gt;50000,$Q187="Sim"),"Negada","Aprovada")</f>
        <v>Aprovada</v>
      </c>
      <c r="P187" s="45" t="str">
        <f>IF(AND($T187="Negada",$O187="Negada"),0,IF($B187="Ativo",$U187*8%,"0"))</f>
        <v>0</v>
      </c>
      <c r="Q187" s="46" t="str">
        <f>IF(OR(Base_Original!J187="Sim",Base_Original!J187="sim",Base_Original!J187="SIM"),"Sim",IF(OR(Base_Original!J187="Não",Base_Original!J187="não",Base_Original!J187="NÃO",Base_Original!J187="Nao"),"Não",IF(Base_Original!J187="","vazio",Base_Original!J187)))</f>
        <v>Não</v>
      </c>
      <c r="R187" s="46">
        <f>IF(ISNUMBER(Base_Original!K187),Base_Original!K187,IF(RIGHT(Base_Original!K187,9)=" batalhas",VALUE(LEFT(Base_Original!K187,LEN(Base_Original!K187)-9)),Base_Original!K187))</f>
        <v>19</v>
      </c>
      <c r="S187" s="42" t="str">
        <f>IF($R187="vazio","vazio",IF($R187&lt;=10,"Baixo",IF($R187&lt;=25,"Médio","Alto")))</f>
        <v>Médio</v>
      </c>
      <c r="T187" s="42" t="str">
        <f>IF(AND($S187="Alto",$Q187="Sim"),"Negada","Aprovada")</f>
        <v>Aprovada</v>
      </c>
      <c r="U187" s="43">
        <v>20500</v>
      </c>
    </row>
    <row r="188" spans="1:21">
      <c r="A188" s="47" t="s">
        <v>1042</v>
      </c>
      <c r="B188" s="37" t="str">
        <f>IF(Base_Original!A188="","vazio",IF(Base_Original!A188="ATIVO","Ativo",IF(Base_Original!A188="INATIVO","Inativo",Base_Original!A188)))</f>
        <v>Ativo</v>
      </c>
      <c r="C188" s="37" t="str">
        <f>PROPER(Base_Original!B188)</f>
        <v>Lyanna Westerling</v>
      </c>
      <c r="D188" s="38">
        <v>17900</v>
      </c>
      <c r="E188" s="39" t="str">
        <f>IF($D188="","Vazio",IF(LEN(SUBSTITUTE(SUBSTITUTE($D188&amp;"",".",""),"-",""))&lt;&gt;11,"Inválido","OK"))</f>
        <v>Inválido</v>
      </c>
      <c r="F188" s="39" t="str">
        <f>IF($D188="","Vazio",IF(COUNTIF($D$2:$D$369,$D188)&gt;1,"Duplicado","Único"))</f>
        <v>Único</v>
      </c>
      <c r="G188" s="40" t="str">
        <f>IF(TRIM(Base_Original!D188)="","",SUBSTITUTE(TRIM(Base_Original!D188),"anos",""))</f>
        <v>44</v>
      </c>
      <c r="H188" s="50">
        <f>IF($J188="","Vazio",DATEDIF($J188,DATE(2026,9,10),"Y"))</f>
        <v>44</v>
      </c>
      <c r="I18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88" s="33">
        <v>29991</v>
      </c>
      <c r="K188" s="42" t="s">
        <v>104</v>
      </c>
      <c r="L188" s="42" t="str">
        <f>PROPER(Base_Original!G188)</f>
        <v/>
      </c>
      <c r="M188" s="43">
        <v>6700</v>
      </c>
      <c r="N188" s="43">
        <f>IF(ISNUMBER(Base_Original!I188),Base_Original!I188,IF(RIGHT(Base_Original!I188,7)=" moedas",VALUE(LEFT(Base_Original!I188,LEN(Base_Original!I188)-7)),Base_Original!I188))</f>
        <v>16500</v>
      </c>
      <c r="O188" s="44" t="str">
        <f>IF(AND($N188&gt;50000,$Q188="Sim"),"Negada","Aprovada")</f>
        <v>Aprovada</v>
      </c>
      <c r="P188" s="45">
        <f>IF(AND($T188="Negada",$O188="Negada"),0,IF($B188="Ativo",$U188*8%,"0"))</f>
        <v>1240</v>
      </c>
      <c r="Q188" s="46" t="str">
        <f>IF(OR(Base_Original!J188="Sim",Base_Original!J188="sim",Base_Original!J188="SIM"),"Sim",IF(OR(Base_Original!J188="Não",Base_Original!J188="não",Base_Original!J188="NÃO",Base_Original!J188="Nao"),"Não",IF(Base_Original!J188="","vazio",Base_Original!J188)))</f>
        <v>Sim</v>
      </c>
      <c r="R188" s="46">
        <f>IF(ISNUMBER(Base_Original!K188),Base_Original!K188,IF(RIGHT(Base_Original!K188,9)=" batalhas",VALUE(LEFT(Base_Original!K188,LEN(Base_Original!K188)-9)),Base_Original!K188))</f>
        <v>38</v>
      </c>
      <c r="S188" s="42" t="str">
        <f>IF($R188="vazio","vazio",IF($R188&lt;=10,"Baixo",IF($R188&lt;=25,"Médio","Alto")))</f>
        <v>Alto</v>
      </c>
      <c r="T188" s="42" t="str">
        <f>IF(AND($S188="Alto",$Q188="Sim"),"Negada","Aprovada")</f>
        <v>Negada</v>
      </c>
      <c r="U188" s="43">
        <v>15500</v>
      </c>
    </row>
    <row r="189" spans="1:21">
      <c r="A189" s="47" t="s">
        <v>1043</v>
      </c>
      <c r="B189" s="37" t="str">
        <f>IF(Base_Original!A189="","vazio",IF(Base_Original!A189="ATIVO","Ativo",IF(Base_Original!A189="INATIVO","Inativo",Base_Original!A189)))</f>
        <v>Ativo</v>
      </c>
      <c r="C189" s="37" t="str">
        <f>PROPER(Base_Original!B189)</f>
        <v>Margaery  Hornwood</v>
      </c>
      <c r="D189" s="38">
        <v>15100</v>
      </c>
      <c r="E189" s="39" t="str">
        <f>IF($D189="","Vazio",IF(LEN(SUBSTITUTE(SUBSTITUTE($D189&amp;"",".",""),"-",""))&lt;&gt;11,"Inválido","OK"))</f>
        <v>Inválido</v>
      </c>
      <c r="F189" s="39" t="str">
        <f>IF($D189="","Vazio",IF(COUNTIF($D$2:$D$369,$D189)&gt;1,"Duplicado","Único"))</f>
        <v>Único</v>
      </c>
      <c r="G189" s="40" t="str">
        <f>IF(TRIM(Base_Original!D189)="","",SUBSTITUTE(TRIM(Base_Original!D189),"anos",""))</f>
        <v>25</v>
      </c>
      <c r="H189" s="50">
        <f>IF($J189="","Vazio",DATEDIF($J189,DATE(2026,9,10),"Y"))</f>
        <v>25</v>
      </c>
      <c r="I18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89" s="33">
        <v>37125</v>
      </c>
      <c r="K189" s="42" t="s">
        <v>34</v>
      </c>
      <c r="L189" s="42" t="str">
        <f>PROPER(Base_Original!G189)</f>
        <v>Dorne</v>
      </c>
      <c r="M189" s="43">
        <v>2500</v>
      </c>
      <c r="N189" s="43">
        <f>IF(ISNUMBER(Base_Original!I189),Base_Original!I189,IF(RIGHT(Base_Original!I189,7)=" moedas",VALUE(LEFT(Base_Original!I189,LEN(Base_Original!I189)-7)),Base_Original!I189))</f>
        <v>72500</v>
      </c>
      <c r="O189" s="44" t="str">
        <f>IF(AND($N189&gt;50000,$Q189="Sim"),"Negada","Aprovada")</f>
        <v>Aprovada</v>
      </c>
      <c r="P189" s="45">
        <f>IF(AND($T189="Negada",$O189="Negada"),0,IF($B189="Ativo",$U189*8%,"0"))</f>
        <v>7760</v>
      </c>
      <c r="Q189" s="46" t="str">
        <f>IF(OR(Base_Original!J189="Sim",Base_Original!J189="sim",Base_Original!J189="SIM"),"Sim",IF(OR(Base_Original!J189="Não",Base_Original!J189="não",Base_Original!J189="NÃO",Base_Original!J189="Nao"),"Não",IF(Base_Original!J189="","vazio",Base_Original!J189)))</f>
        <v>Não</v>
      </c>
      <c r="R189" s="46">
        <f>IF(ISNUMBER(Base_Original!K189),Base_Original!K189,IF(RIGHT(Base_Original!K189,9)=" batalhas",VALUE(LEFT(Base_Original!K189,LEN(Base_Original!K189)-9)),Base_Original!K189))</f>
        <v>32</v>
      </c>
      <c r="S189" s="42" t="str">
        <f>IF($R189="vazio","vazio",IF($R189&lt;=10,"Baixo",IF($R189&lt;=25,"Médio","Alto")))</f>
        <v>Alto</v>
      </c>
      <c r="T189" s="42" t="str">
        <f>IF(AND($S189="Alto",$Q189="Sim"),"Negada","Aprovada")</f>
        <v>Aprovada</v>
      </c>
      <c r="U189" s="43">
        <v>97000</v>
      </c>
    </row>
    <row r="190" spans="1:21">
      <c r="A190" s="47" t="s">
        <v>1044</v>
      </c>
      <c r="B190" s="37" t="str">
        <f>IF(Base_Original!A190="","vazio",IF(Base_Original!A190="ATIVO","Ativo",IF(Base_Original!A190="INATIVO","Inativo",Base_Original!A190)))</f>
        <v>Inativo</v>
      </c>
      <c r="C190" s="37" t="str">
        <f>PROPER(Base_Original!B190)</f>
        <v>Margaery Cerwyn</v>
      </c>
      <c r="D190" s="38" t="s">
        <v>445</v>
      </c>
      <c r="E190" s="39" t="str">
        <f>IF($D190="","Vazio",IF(LEN(SUBSTITUTE(SUBSTITUTE($D190&amp;"",".",""),"-",""))&lt;&gt;11,"Inválido","OK"))</f>
        <v>OK</v>
      </c>
      <c r="F190" s="39" t="str">
        <f>IF($D190="","Vazio",IF(COUNTIF($D$2:$D$369,$D190)&gt;1,"Duplicado","Único"))</f>
        <v>Único</v>
      </c>
      <c r="G190" s="40" t="str">
        <f>IF(TRIM(Base_Original!D190)="","",SUBSTITUTE(TRIM(Base_Original!D190),"anos",""))</f>
        <v>31</v>
      </c>
      <c r="H190" s="50">
        <f>IF($J190="","Vazio",DATEDIF($J190,DATE(2026,9,10),"Y"))</f>
        <v>31</v>
      </c>
      <c r="I19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90" s="33">
        <v>34738</v>
      </c>
      <c r="K190" s="42" t="s">
        <v>101</v>
      </c>
      <c r="L190" s="42" t="str">
        <f>PROPER(Base_Original!G190)</f>
        <v>Campina</v>
      </c>
      <c r="M190" s="43">
        <v>22600</v>
      </c>
      <c r="N190" s="43">
        <f>IF(ISNUMBER(Base_Original!I190),Base_Original!I190,IF(RIGHT(Base_Original!I190,7)=" moedas",VALUE(LEFT(Base_Original!I190,LEN(Base_Original!I190)-7)),Base_Original!I190))</f>
        <v>58000</v>
      </c>
      <c r="O190" s="44" t="str">
        <f>IF(AND($N190&gt;50000,$Q190="Sim"),"Negada","Aprovada")</f>
        <v>Aprovada</v>
      </c>
      <c r="P190" s="45" t="str">
        <f>IF(AND($T190="Negada",$O190="Negada"),0,IF($B190="Ativo",$U190*8%,"0"))</f>
        <v>0</v>
      </c>
      <c r="Q190" s="46" t="str">
        <f>IF(OR(Base_Original!J190="Sim",Base_Original!J190="sim",Base_Original!J190="SIM"),"Sim",IF(OR(Base_Original!J190="Não",Base_Original!J190="não",Base_Original!J190="NÃO",Base_Original!J190="Nao"),"Não",IF(Base_Original!J190="","vazio",Base_Original!J190)))</f>
        <v>Não</v>
      </c>
      <c r="R190" s="46">
        <f>IF(ISNUMBER(Base_Original!K190),Base_Original!K190,IF(RIGHT(Base_Original!K190,9)=" batalhas",VALUE(LEFT(Base_Original!K190,LEN(Base_Original!K190)-9)),Base_Original!K190))</f>
        <v>5</v>
      </c>
      <c r="S190" s="42" t="str">
        <f>IF($R190="vazio","vazio",IF($R190&lt;=10,"Baixo",IF($R190&lt;=25,"Médio","Alto")))</f>
        <v>Baixo</v>
      </c>
      <c r="T190" s="42" t="str">
        <f>IF(AND($S190="Alto",$Q190="Sim"),"Negada","Aprovada")</f>
        <v>Aprovada</v>
      </c>
      <c r="U190" s="43">
        <v>26500</v>
      </c>
    </row>
    <row r="191" spans="1:21">
      <c r="A191" s="47" t="s">
        <v>1045</v>
      </c>
      <c r="B191" s="37" t="str">
        <f>IF(Base_Original!A191="","vazio",IF(Base_Original!A191="ATIVO","Ativo",IF(Base_Original!A191="INATIVO","Inativo",Base_Original!A191)))</f>
        <v>Ativo</v>
      </c>
      <c r="C191" s="37" t="str">
        <f>PROPER(Base_Original!B191)</f>
        <v>Margaery Dayne</v>
      </c>
      <c r="D191" s="38" t="s">
        <v>448</v>
      </c>
      <c r="E191" s="39" t="str">
        <f>IF($D191="","Vazio",IF(LEN(SUBSTITUTE(SUBSTITUTE($D191&amp;"",".",""),"-",""))&lt;&gt;11,"Inválido","OK"))</f>
        <v>OK</v>
      </c>
      <c r="F191" s="39" t="str">
        <f>IF($D191="","Vazio",IF(COUNTIF($D$2:$D$369,$D191)&gt;1,"Duplicado","Único"))</f>
        <v>Único</v>
      </c>
      <c r="G191" s="40" t="str">
        <f>IF(TRIM(Base_Original!D191)="","",SUBSTITUTE(TRIM(Base_Original!D191),"anos",""))</f>
        <v>36</v>
      </c>
      <c r="H191" s="50">
        <f>IF($J191="","Vazio",DATEDIF($J191,DATE(2026,9,10),"Y"))</f>
        <v>36</v>
      </c>
      <c r="I19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91" s="33">
        <v>32791</v>
      </c>
      <c r="K191" s="42" t="s">
        <v>20</v>
      </c>
      <c r="L191" s="42" t="str">
        <f>PROPER(Base_Original!G191)</f>
        <v>Campina</v>
      </c>
      <c r="M191" s="43">
        <v>23900</v>
      </c>
      <c r="N191" s="43">
        <f>IF(ISNUMBER(Base_Original!I191),Base_Original!I191,IF(RIGHT(Base_Original!I191,7)=" moedas",VALUE(LEFT(Base_Original!I191,LEN(Base_Original!I191)-7)),Base_Original!I191))</f>
        <v>58000</v>
      </c>
      <c r="O191" s="44" t="str">
        <f>IF(AND($N191&gt;50000,$Q191="Sim"),"Negada","Aprovada")</f>
        <v>Aprovada</v>
      </c>
      <c r="P191" s="45">
        <f>IF(AND($T191="Negada",$O191="Negada"),0,IF($B191="Ativo",$U191*8%,"0"))</f>
        <v>3040</v>
      </c>
      <c r="Q191" s="46" t="str">
        <f>IF(OR(Base_Original!J191="Sim",Base_Original!J191="sim",Base_Original!J191="SIM"),"Sim",IF(OR(Base_Original!J191="Não",Base_Original!J191="não",Base_Original!J191="NÃO",Base_Original!J191="Nao"),"Não",IF(Base_Original!J191="","vazio",Base_Original!J191)))</f>
        <v>Não</v>
      </c>
      <c r="R191" s="46">
        <f>IF(ISNUMBER(Base_Original!K191),Base_Original!K191,IF(RIGHT(Base_Original!K191,9)=" batalhas",VALUE(LEFT(Base_Original!K191,LEN(Base_Original!K191)-9)),Base_Original!K191))</f>
        <v>27</v>
      </c>
      <c r="S191" s="42" t="str">
        <f>IF($R191="vazio","vazio",IF($R191&lt;=10,"Baixo",IF($R191&lt;=25,"Médio","Alto")))</f>
        <v>Alto</v>
      </c>
      <c r="T191" s="42" t="str">
        <f>IF(AND($S191="Alto",$Q191="Sim"),"Negada","Aprovada")</f>
        <v>Aprovada</v>
      </c>
      <c r="U191" s="43">
        <v>38000</v>
      </c>
    </row>
    <row r="192" spans="1:21">
      <c r="A192" s="47" t="s">
        <v>1046</v>
      </c>
      <c r="B192" s="37" t="str">
        <f>IF(Base_Original!A192="","vazio",IF(Base_Original!A192="ATIVO","Ativo",IF(Base_Original!A192="INATIVO","Inativo",Base_Original!A192)))</f>
        <v>Inativo</v>
      </c>
      <c r="C192" s="37" t="str">
        <f>PROPER(Base_Original!B192)</f>
        <v>Margaery Dondarrion</v>
      </c>
      <c r="D192" s="38">
        <v>19200</v>
      </c>
      <c r="E192" s="39" t="str">
        <f>IF($D192="","Vazio",IF(LEN(SUBSTITUTE(SUBSTITUTE($D192&amp;"",".",""),"-",""))&lt;&gt;11,"Inválido","OK"))</f>
        <v>Inválido</v>
      </c>
      <c r="F192" s="39" t="str">
        <f>IF($D192="","Vazio",IF(COUNTIF($D$2:$D$369,$D192)&gt;1,"Duplicado","Único"))</f>
        <v>Único</v>
      </c>
      <c r="G192" s="40" t="str">
        <f>IF(TRIM(Base_Original!D192)="","",SUBSTITUTE(TRIM(Base_Original!D192),"anos",""))</f>
        <v>50</v>
      </c>
      <c r="H192" s="50">
        <f>IF($J192="","Vazio",DATEDIF($J192,DATE(2026,9,10),"Y"))</f>
        <v>50</v>
      </c>
      <c r="I19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92" s="33">
        <v>27833</v>
      </c>
      <c r="K192" s="42" t="s">
        <v>82</v>
      </c>
      <c r="L192" s="42" t="str">
        <f>PROPER(Base_Original!G192)</f>
        <v/>
      </c>
      <c r="M192" s="43">
        <v>16200</v>
      </c>
      <c r="N192" s="43">
        <f>IF(ISNUMBER(Base_Original!I192),Base_Original!I192,IF(RIGHT(Base_Original!I192,7)=" moedas",VALUE(LEFT(Base_Original!I192,LEN(Base_Original!I192)-7)),Base_Original!I192))</f>
        <v>25000</v>
      </c>
      <c r="O192" s="44" t="str">
        <f>IF(AND($N192&gt;50000,$Q192="Sim"),"Negada","Aprovada")</f>
        <v>Aprovada</v>
      </c>
      <c r="P192" s="45" t="str">
        <f>IF(AND($T192="Negada",$O192="Negada"),0,IF($B192="Ativo",$U192*8%,"0"))</f>
        <v>0</v>
      </c>
      <c r="Q192" s="46" t="str">
        <f>IF(OR(Base_Original!J192="Sim",Base_Original!J192="sim",Base_Original!J192="SIM"),"Sim",IF(OR(Base_Original!J192="Não",Base_Original!J192="não",Base_Original!J192="NÃO",Base_Original!J192="Nao"),"Não",IF(Base_Original!J192="","vazio",Base_Original!J192)))</f>
        <v>Não</v>
      </c>
      <c r="R192" s="46">
        <f>IF(ISNUMBER(Base_Original!K192),Base_Original!K192,IF(RIGHT(Base_Original!K192,9)=" batalhas",VALUE(LEFT(Base_Original!K192,LEN(Base_Original!K192)-9)),Base_Original!K192))</f>
        <v>26</v>
      </c>
      <c r="S192" s="42" t="str">
        <f>IF($R192="vazio","vazio",IF($R192&lt;=10,"Baixo",IF($R192&lt;=25,"Médio","Alto")))</f>
        <v>Alto</v>
      </c>
      <c r="T192" s="42" t="str">
        <f>IF(AND($S192="Alto",$Q192="Sim"),"Negada","Aprovada")</f>
        <v>Aprovada</v>
      </c>
      <c r="U192" s="43">
        <v>65000</v>
      </c>
    </row>
    <row r="193" spans="1:21">
      <c r="A193" s="47" t="s">
        <v>1047</v>
      </c>
      <c r="B193" s="37" t="str">
        <f>IF(Base_Original!A193="","vazio",IF(Base_Original!A193="ATIVO","Ativo",IF(Base_Original!A193="INATIVO","Inativo",Base_Original!A193)))</f>
        <v>Ativo</v>
      </c>
      <c r="C193" s="37" t="str">
        <f>PROPER(Base_Original!B193)</f>
        <v>Margaery Manderly</v>
      </c>
      <c r="D193" s="38" t="s">
        <v>451</v>
      </c>
      <c r="E193" s="39" t="str">
        <f>IF($D193="","Vazio",IF(LEN(SUBSTITUTE(SUBSTITUTE($D193&amp;"",".",""),"-",""))&lt;&gt;11,"Inválido","OK"))</f>
        <v>OK</v>
      </c>
      <c r="F193" s="39" t="str">
        <f>IF($D193="","Vazio",IF(COUNTIF($D$2:$D$369,$D193)&gt;1,"Duplicado","Único"))</f>
        <v>Único</v>
      </c>
      <c r="G193" s="40" t="str">
        <f>IF(TRIM(Base_Original!D193)="","",SUBSTITUTE(TRIM(Base_Original!D193),"anos",""))</f>
        <v>63</v>
      </c>
      <c r="H193" s="50">
        <f>IF($J193="","Vazio",DATEDIF($J193,DATE(2026,9,10),"Y"))</f>
        <v>63</v>
      </c>
      <c r="I19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93" s="33">
        <v>23231</v>
      </c>
      <c r="K193" s="42" t="s">
        <v>242</v>
      </c>
      <c r="L193" s="42" t="str">
        <f>PROPER(Base_Original!G193)</f>
        <v>Norte</v>
      </c>
      <c r="M193" s="43">
        <v>16800</v>
      </c>
      <c r="N193" s="43">
        <f>IF(ISNUMBER(Base_Original!I193),Base_Original!I193,IF(RIGHT(Base_Original!I193,7)=" moedas",VALUE(LEFT(Base_Original!I193,LEN(Base_Original!I193)-7)),Base_Original!I193))</f>
        <v>0</v>
      </c>
      <c r="O193" s="44" t="str">
        <f>IF(AND($N193&gt;50000,$Q193="Sim"),"Negada","Aprovada")</f>
        <v>Aprovada</v>
      </c>
      <c r="P193" s="45">
        <f>IF(AND($T193="Negada",$O193="Negada"),0,IF($B193="Ativo",$U193*8%,"0"))</f>
        <v>4920</v>
      </c>
      <c r="Q193" s="46" t="str">
        <f>IF(OR(Base_Original!J193="Sim",Base_Original!J193="sim",Base_Original!J193="SIM"),"Sim",IF(OR(Base_Original!J193="Não",Base_Original!J193="não",Base_Original!J193="NÃO",Base_Original!J193="Nao"),"Não",IF(Base_Original!J193="","vazio",Base_Original!J193)))</f>
        <v>vazio</v>
      </c>
      <c r="R193" s="46">
        <f>IF(ISNUMBER(Base_Original!K193),Base_Original!K193,IF(RIGHT(Base_Original!K193,9)=" batalhas",VALUE(LEFT(Base_Original!K193,LEN(Base_Original!K193)-9)),Base_Original!K193))</f>
        <v>32</v>
      </c>
      <c r="S193" s="42" t="str">
        <f>IF($R193="vazio","vazio",IF($R193&lt;=10,"Baixo",IF($R193&lt;=25,"Médio","Alto")))</f>
        <v>Alto</v>
      </c>
      <c r="T193" s="42" t="str">
        <f>IF(AND($S193="Alto",$Q193="Sim"),"Negada","Aprovada")</f>
        <v>Aprovada</v>
      </c>
      <c r="U193" s="43">
        <v>61500</v>
      </c>
    </row>
    <row r="194" spans="1:21">
      <c r="A194" s="47" t="s">
        <v>1048</v>
      </c>
      <c r="B194" s="37" t="str">
        <f>IF(Base_Original!A194="","vazio",IF(Base_Original!A194="ATIVO","Ativo",IF(Base_Original!A194="INATIVO","Inativo",Base_Original!A194)))</f>
        <v>Ativo</v>
      </c>
      <c r="C194" s="37" t="str">
        <f>PROPER(Base_Original!B194)</f>
        <v>Margaery Marbrand</v>
      </c>
      <c r="D194" s="38" t="s">
        <v>453</v>
      </c>
      <c r="E194" s="39" t="str">
        <f>IF($D194="","Vazio",IF(LEN(SUBSTITUTE(SUBSTITUTE($D194&amp;"",".",""),"-",""))&lt;&gt;11,"Inválido","OK"))</f>
        <v>OK</v>
      </c>
      <c r="F194" s="39" t="str">
        <f>IF($D194="","Vazio",IF(COUNTIF($D$2:$D$369,$D194)&gt;1,"Duplicado","Único"))</f>
        <v>Único</v>
      </c>
      <c r="G194" s="40" t="str">
        <f>IF(TRIM(Base_Original!D194)="","",SUBSTITUTE(TRIM(Base_Original!D194),"anos",""))</f>
        <v>22</v>
      </c>
      <c r="H194" s="50">
        <f>IF($J194="","Vazio",DATEDIF($J194,DATE(2026,9,10),"Y"))</f>
        <v>22</v>
      </c>
      <c r="I19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94" s="33">
        <v>38079</v>
      </c>
      <c r="K194" s="42" t="s">
        <v>180</v>
      </c>
      <c r="L194" s="42" t="str">
        <f>PROPER(Base_Original!G194)</f>
        <v>Terras Da Tempestade</v>
      </c>
      <c r="M194" s="43">
        <v>9200</v>
      </c>
      <c r="N194" s="43">
        <f>IF(ISNUMBER(Base_Original!I194),Base_Original!I194,IF(RIGHT(Base_Original!I194,7)=" moedas",VALUE(LEFT(Base_Original!I194,LEN(Base_Original!I194)-7)),Base_Original!I194))</f>
        <v>5000</v>
      </c>
      <c r="O194" s="44" t="str">
        <f>IF(AND($N194&gt;50000,$Q194="Sim"),"Negada","Aprovada")</f>
        <v>Aprovada</v>
      </c>
      <c r="P194" s="45">
        <f>IF(AND($T194="Negada",$O194="Negada"),0,IF($B194="Ativo",$U194*8%,"0"))</f>
        <v>5080</v>
      </c>
      <c r="Q194" s="46" t="str">
        <f>IF(OR(Base_Original!J194="Sim",Base_Original!J194="sim",Base_Original!J194="SIM"),"Sim",IF(OR(Base_Original!J194="Não",Base_Original!J194="não",Base_Original!J194="NÃO",Base_Original!J194="Nao"),"Não",IF(Base_Original!J194="","vazio",Base_Original!J194)))</f>
        <v>Não</v>
      </c>
      <c r="R194" s="46">
        <f>IF(ISNUMBER(Base_Original!K194),Base_Original!K194,IF(RIGHT(Base_Original!K194,9)=" batalhas",VALUE(LEFT(Base_Original!K194,LEN(Base_Original!K194)-9)),Base_Original!K194))</f>
        <v>42</v>
      </c>
      <c r="S194" s="42" t="str">
        <f>IF($R194="vazio","vazio",IF($R194&lt;=10,"Baixo",IF($R194&lt;=25,"Médio","Alto")))</f>
        <v>Alto</v>
      </c>
      <c r="T194" s="42" t="str">
        <f>IF(AND($S194="Alto",$Q194="Sim"),"Negada","Aprovada")</f>
        <v>Aprovada</v>
      </c>
      <c r="U194" s="43">
        <v>63500</v>
      </c>
    </row>
    <row r="195" spans="1:21">
      <c r="A195" s="47" t="s">
        <v>1049</v>
      </c>
      <c r="B195" s="37" t="str">
        <f>IF(Base_Original!A195="","vazio",IF(Base_Original!A195="ATIVO","Ativo",IF(Base_Original!A195="INATIVO","Inativo",Base_Original!A195)))</f>
        <v>Ativo</v>
      </c>
      <c r="C195" s="37" t="str">
        <f>PROPER(Base_Original!B195)</f>
        <v>Margaery Tarly</v>
      </c>
      <c r="D195" s="38" t="s">
        <v>455</v>
      </c>
      <c r="E195" s="39" t="str">
        <f>IF($D195="","Vazio",IF(LEN(SUBSTITUTE(SUBSTITUTE($D195&amp;"",".",""),"-",""))&lt;&gt;11,"Inválido","OK"))</f>
        <v>OK</v>
      </c>
      <c r="F195" s="39" t="str">
        <f>IF($D195="","Vazio",IF(COUNTIF($D$2:$D$369,$D195)&gt;1,"Duplicado","Único"))</f>
        <v>Único</v>
      </c>
      <c r="G195" s="40" t="str">
        <f>IF(TRIM(Base_Original!D195)="","",SUBSTITUTE(TRIM(Base_Original!D195),"anos",""))</f>
        <v>34</v>
      </c>
      <c r="H195" s="50">
        <f>IF($J195="","Vazio",DATEDIF($J195,DATE(2026,9,10),"Y"))</f>
        <v>34</v>
      </c>
      <c r="I19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95" s="33">
        <v>33624</v>
      </c>
      <c r="K195" s="42" t="s">
        <v>44</v>
      </c>
      <c r="L195" s="42" t="str">
        <f>PROPER(Base_Original!G195)</f>
        <v>Ilhas De Ferro</v>
      </c>
      <c r="M195" s="43">
        <v>8000</v>
      </c>
      <c r="N195" s="43">
        <f>IF(ISNUMBER(Base_Original!I195),Base_Original!I195,IF(RIGHT(Base_Original!I195,7)=" moedas",VALUE(LEFT(Base_Original!I195,LEN(Base_Original!I195)-7)),Base_Original!I195))</f>
        <v>14500</v>
      </c>
      <c r="O195" s="44" t="str">
        <f>IF(AND($N195&gt;50000,$Q195="Sim"),"Negada","Aprovada")</f>
        <v>Aprovada</v>
      </c>
      <c r="P195" s="45">
        <f>IF(AND($T195="Negada",$O195="Negada"),0,IF($B195="Ativo",$U195*8%,"0"))</f>
        <v>1400</v>
      </c>
      <c r="Q195" s="46" t="str">
        <f>IF(OR(Base_Original!J195="Sim",Base_Original!J195="sim",Base_Original!J195="SIM"),"Sim",IF(OR(Base_Original!J195="Não",Base_Original!J195="não",Base_Original!J195="NÃO",Base_Original!J195="Nao"),"Não",IF(Base_Original!J195="","vazio",Base_Original!J195)))</f>
        <v>Sim</v>
      </c>
      <c r="R195" s="46">
        <f>IF(ISNUMBER(Base_Original!K195),Base_Original!K195,IF(RIGHT(Base_Original!K195,9)=" batalhas",VALUE(LEFT(Base_Original!K195,LEN(Base_Original!K195)-9)),Base_Original!K195))</f>
        <v>9</v>
      </c>
      <c r="S195" s="42" t="str">
        <f>IF($R195="vazio","vazio",IF($R195&lt;=10,"Baixo",IF($R195&lt;=25,"Médio","Alto")))</f>
        <v>Baixo</v>
      </c>
      <c r="T195" s="42" t="str">
        <f>IF(AND($S195="Alto",$Q195="Sim"),"Negada","Aprovada")</f>
        <v>Aprovada</v>
      </c>
      <c r="U195" s="43">
        <v>17500</v>
      </c>
    </row>
    <row r="196" spans="1:21">
      <c r="A196" s="47" t="s">
        <v>1050</v>
      </c>
      <c r="B196" s="37" t="str">
        <f>IF(Base_Original!A196="","vazio",IF(Base_Original!A196="ATIVO","Ativo",IF(Base_Original!A196="INATIVO","Inativo",Base_Original!A196)))</f>
        <v>Inativo</v>
      </c>
      <c r="C196" s="37" t="str">
        <f>PROPER(Base_Original!B196)</f>
        <v>Margaery Tyrell</v>
      </c>
      <c r="D196" s="38" t="s">
        <v>457</v>
      </c>
      <c r="E196" s="39" t="str">
        <f>IF($D196="","Vazio",IF(LEN(SUBSTITUTE(SUBSTITUTE($D196&amp;"",".",""),"-",""))&lt;&gt;11,"Inválido","OK"))</f>
        <v>OK</v>
      </c>
      <c r="F196" s="39" t="str">
        <f>IF($D196="","Vazio",IF(COUNTIF($D$2:$D$369,$D196)&gt;1,"Duplicado","Único"))</f>
        <v>Único</v>
      </c>
      <c r="G196" s="40" t="str">
        <f>IF(TRIM(Base_Original!D196)="","",SUBSTITUTE(TRIM(Base_Original!D196),"anos",""))</f>
        <v>31</v>
      </c>
      <c r="H196" s="50">
        <f>IF($J196="","Vazio",DATEDIF($J196,DATE(2026,9,10),"Y"))</f>
        <v>31</v>
      </c>
      <c r="I19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96" s="33">
        <v>34824</v>
      </c>
      <c r="K196" s="42" t="s">
        <v>37</v>
      </c>
      <c r="L196" s="42" t="str">
        <f>PROPER(Base_Original!G196)</f>
        <v>Terras Da Tempestade</v>
      </c>
      <c r="M196" s="43">
        <v>29500</v>
      </c>
      <c r="N196" s="43">
        <f>IF(ISNUMBER(Base_Original!I196),Base_Original!I196,IF(RIGHT(Base_Original!I196,7)=" moedas",VALUE(LEFT(Base_Original!I196,LEN(Base_Original!I196)-7)),Base_Original!I196))</f>
        <v>5000</v>
      </c>
      <c r="O196" s="44" t="str">
        <f>IF(AND($N196&gt;50000,$Q196="Sim"),"Negada","Aprovada")</f>
        <v>Aprovada</v>
      </c>
      <c r="P196" s="45" t="str">
        <f>IF(AND($T196="Negada",$O196="Negada"),0,IF($B196="Ativo",$U196*8%,"0"))</f>
        <v>0</v>
      </c>
      <c r="Q196" s="46" t="str">
        <f>IF(OR(Base_Original!J196="Sim",Base_Original!J196="sim",Base_Original!J196="SIM"),"Sim",IF(OR(Base_Original!J196="Não",Base_Original!J196="não",Base_Original!J196="NÃO",Base_Original!J196="Nao"),"Não",IF(Base_Original!J196="","vazio",Base_Original!J196)))</f>
        <v>Não</v>
      </c>
      <c r="R196" s="46">
        <f>IF(ISNUMBER(Base_Original!K196),Base_Original!K196,IF(RIGHT(Base_Original!K196,9)=" batalhas",VALUE(LEFT(Base_Original!K196,LEN(Base_Original!K196)-9)),Base_Original!K196))</f>
        <v>22</v>
      </c>
      <c r="S196" s="42" t="str">
        <f>IF($R196="vazio","vazio",IF($R196&lt;=10,"Baixo",IF($R196&lt;=25,"Médio","Alto")))</f>
        <v>Médio</v>
      </c>
      <c r="T196" s="42" t="str">
        <f>IF(AND($S196="Alto",$Q196="Sim"),"Negada","Aprovada")</f>
        <v>Aprovada</v>
      </c>
      <c r="U196" s="43">
        <v>18000</v>
      </c>
    </row>
    <row r="197" spans="1:21">
      <c r="A197" s="47" t="s">
        <v>1051</v>
      </c>
      <c r="B197" s="37" t="str">
        <f>IF(Base_Original!A197="","vazio",IF(Base_Original!A197="ATIVO","Ativo",IF(Base_Original!A197="INATIVO","Inativo",Base_Original!A197)))</f>
        <v>vazio</v>
      </c>
      <c r="C197" s="37" t="str">
        <f>PROPER(Base_Original!B197)</f>
        <v>Meera Payne</v>
      </c>
      <c r="D197" s="38" t="s">
        <v>459</v>
      </c>
      <c r="E197" s="39" t="str">
        <f>IF($D197="","Vazio",IF(LEN(SUBSTITUTE(SUBSTITUTE($D197&amp;"",".",""),"-",""))&lt;&gt;11,"Inválido","OK"))</f>
        <v>OK</v>
      </c>
      <c r="F197" s="39" t="str">
        <f>IF($D197="","Vazio",IF(COUNTIF($D$2:$D$369,$D197)&gt;1,"Duplicado","Único"))</f>
        <v>Único</v>
      </c>
      <c r="G197" s="40" t="str">
        <f>IF(TRIM(Base_Original!D197)="","",SUBSTITUTE(TRIM(Base_Original!D197),"anos",""))</f>
        <v>63</v>
      </c>
      <c r="H197" s="50">
        <f>IF($J197="","Vazio",DATEDIF($J197,DATE(2026,9,10),"Y"))</f>
        <v>63</v>
      </c>
      <c r="I19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97" s="33">
        <v>22974</v>
      </c>
      <c r="K197" s="42" t="s">
        <v>34</v>
      </c>
      <c r="L197" s="42" t="str">
        <f>PROPER(Base_Original!G197)</f>
        <v>Dorne</v>
      </c>
      <c r="M197" s="43">
        <v>14700</v>
      </c>
      <c r="N197" s="43">
        <f>IF(ISNUMBER(Base_Original!I197),Base_Original!I197,IF(RIGHT(Base_Original!I197,7)=" moedas",VALUE(LEFT(Base_Original!I197,LEN(Base_Original!I197)-7)),Base_Original!I197))</f>
        <v>0</v>
      </c>
      <c r="O197" s="44" t="str">
        <f>IF(AND($N197&gt;50000,$Q197="Sim"),"Negada","Aprovada")</f>
        <v>Aprovada</v>
      </c>
      <c r="P197" s="45" t="str">
        <f>IF(AND($T197="Negada",$O197="Negada"),0,IF($B197="Ativo",$U197*8%,"0"))</f>
        <v>0</v>
      </c>
      <c r="Q197" s="46" t="str">
        <f>IF(OR(Base_Original!J197="Sim",Base_Original!J197="sim",Base_Original!J197="SIM"),"Sim",IF(OR(Base_Original!J197="Não",Base_Original!J197="não",Base_Original!J197="NÃO",Base_Original!J197="Nao"),"Não",IF(Base_Original!J197="","vazio",Base_Original!J197)))</f>
        <v>Sim</v>
      </c>
      <c r="R197" s="46">
        <f>IF(ISNUMBER(Base_Original!K197),Base_Original!K197,IF(RIGHT(Base_Original!K197,9)=" batalhas",VALUE(LEFT(Base_Original!K197,LEN(Base_Original!K197)-9)),Base_Original!K197))</f>
        <v>40</v>
      </c>
      <c r="S197" s="42" t="str">
        <f>IF($R197="vazio","vazio",IF($R197&lt;=10,"Baixo",IF($R197&lt;=25,"Médio","Alto")))</f>
        <v>Alto</v>
      </c>
      <c r="T197" s="42" t="str">
        <f>IF(AND($S197="Alto",$Q197="Sim"),"Negada","Aprovada")</f>
        <v>Negada</v>
      </c>
      <c r="U197" s="43">
        <v>83500</v>
      </c>
    </row>
    <row r="198" spans="1:21">
      <c r="A198" s="47" t="s">
        <v>1052</v>
      </c>
      <c r="B198" s="37" t="str">
        <f>IF(Base_Original!A198="","vazio",IF(Base_Original!A198="ATIVO","Ativo",IF(Base_Original!A198="INATIVO","Inativo",Base_Original!A198)))</f>
        <v>Ativo</v>
      </c>
      <c r="C198" s="37" t="str">
        <f>PROPER(Base_Original!B198)</f>
        <v>Meera Reed</v>
      </c>
      <c r="D198" s="38" t="s">
        <v>462</v>
      </c>
      <c r="E198" s="39" t="str">
        <f>IF($D198="","Vazio",IF(LEN(SUBSTITUTE(SUBSTITUTE($D198&amp;"",".",""),"-",""))&lt;&gt;11,"Inválido","OK"))</f>
        <v>OK</v>
      </c>
      <c r="F198" s="39" t="str">
        <f>IF($D198="","Vazio",IF(COUNTIF($D$2:$D$369,$D198)&gt;1,"Duplicado","Único"))</f>
        <v>Duplicado</v>
      </c>
      <c r="G198" s="40" t="str">
        <f>IF(TRIM(Base_Original!D198)="","",SUBSTITUTE(TRIM(Base_Original!D198),"anos",""))</f>
        <v>53</v>
      </c>
      <c r="H198" s="50">
        <f>IF($J198="","Vazio",DATEDIF($J198,DATE(2026,9,10),"Y"))</f>
        <v>53</v>
      </c>
      <c r="I19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98" s="33">
        <v>26584</v>
      </c>
      <c r="K198" s="42" t="s">
        <v>99</v>
      </c>
      <c r="L198" s="42" t="str">
        <f>PROPER(Base_Original!G198)</f>
        <v>Norte</v>
      </c>
      <c r="M198" s="43">
        <v>12200</v>
      </c>
      <c r="N198" s="43">
        <f>IF(ISNUMBER(Base_Original!I198),Base_Original!I198,IF(RIGHT(Base_Original!I198,7)=" moedas",VALUE(LEFT(Base_Original!I198,LEN(Base_Original!I198)-7)),Base_Original!I198))</f>
        <v>79500</v>
      </c>
      <c r="O198" s="44" t="str">
        <f>IF(AND($N198&gt;50000,$Q198="Sim"),"Negada","Aprovada")</f>
        <v>Aprovada</v>
      </c>
      <c r="P198" s="45">
        <f>IF(AND($T198="Negada",$O198="Negada"),0,IF($B198="Ativo",$U198*8%,"0"))</f>
        <v>4560</v>
      </c>
      <c r="Q198" s="46" t="str">
        <f>IF(OR(Base_Original!J198="Sim",Base_Original!J198="sim",Base_Original!J198="SIM"),"Sim",IF(OR(Base_Original!J198="Não",Base_Original!J198="não",Base_Original!J198="NÃO",Base_Original!J198="Nao"),"Não",IF(Base_Original!J198="","vazio",Base_Original!J198)))</f>
        <v>Não</v>
      </c>
      <c r="R198" s="46">
        <f>IF(ISNUMBER(Base_Original!K198),Base_Original!K198,IF(RIGHT(Base_Original!K198,9)=" batalhas",VALUE(LEFT(Base_Original!K198,LEN(Base_Original!K198)-9)),Base_Original!K198))</f>
        <v>45</v>
      </c>
      <c r="S198" s="42" t="str">
        <f>IF($R198="vazio","vazio",IF($R198&lt;=10,"Baixo",IF($R198&lt;=25,"Médio","Alto")))</f>
        <v>Alto</v>
      </c>
      <c r="T198" s="42" t="str">
        <f>IF(AND($S198="Alto",$Q198="Sim"),"Negada","Aprovada")</f>
        <v>Aprovada</v>
      </c>
      <c r="U198" s="43">
        <v>57000</v>
      </c>
    </row>
    <row r="199" spans="1:21">
      <c r="A199" s="47" t="s">
        <v>1053</v>
      </c>
      <c r="B199" s="37" t="str">
        <f>IF(Base_Original!A199="","vazio",IF(Base_Original!A199="ATIVO","Ativo",IF(Base_Original!A199="INATIVO","Inativo",Base_Original!A199)))</f>
        <v>Ativo</v>
      </c>
      <c r="C199" s="37" t="str">
        <f>PROPER(Base_Original!B199)</f>
        <v>Meera Reed</v>
      </c>
      <c r="D199" s="38" t="s">
        <v>462</v>
      </c>
      <c r="E199" s="39" t="str">
        <f>IF($D199="","Vazio",IF(LEN(SUBSTITUTE(SUBSTITUTE($D199&amp;"",".",""),"-",""))&lt;&gt;11,"Inválido","OK"))</f>
        <v>OK</v>
      </c>
      <c r="F199" s="39" t="str">
        <f>IF($D199="","Vazio",IF(COUNTIF($D$2:$D$369,$D199)&gt;1,"Duplicado","Único"))</f>
        <v>Duplicado</v>
      </c>
      <c r="G199" s="40" t="str">
        <f>IF(TRIM(Base_Original!D199)="","",SUBSTITUTE(TRIM(Base_Original!D199),"anos",""))</f>
        <v>53</v>
      </c>
      <c r="H199" s="50">
        <f>IF($J199="","Vazio",DATEDIF($J199,DATE(2026,9,10),"Y"))</f>
        <v>53</v>
      </c>
      <c r="I19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199" s="33">
        <v>26584</v>
      </c>
      <c r="K199" s="42" t="s">
        <v>99</v>
      </c>
      <c r="L199" s="42" t="str">
        <f>PROPER(Base_Original!G199)</f>
        <v>Norte</v>
      </c>
      <c r="M199" s="43">
        <v>12200</v>
      </c>
      <c r="N199" s="43">
        <f>IF(ISNUMBER(Base_Original!I199),Base_Original!I199,IF(RIGHT(Base_Original!I199,7)=" moedas",VALUE(LEFT(Base_Original!I199,LEN(Base_Original!I199)-7)),Base_Original!I199))</f>
        <v>79500</v>
      </c>
      <c r="O199" s="44" t="str">
        <f>IF(AND($N199&gt;50000,$Q199="Sim"),"Negada","Aprovada")</f>
        <v>Aprovada</v>
      </c>
      <c r="P199" s="45">
        <f>IF(AND($T199="Negada",$O199="Negada"),0,IF($B199="Ativo",$U199*8%,"0"))</f>
        <v>4960</v>
      </c>
      <c r="Q199" s="46" t="str">
        <f>IF(OR(Base_Original!J199="Sim",Base_Original!J199="sim",Base_Original!J199="SIM"),"Sim",IF(OR(Base_Original!J199="Não",Base_Original!J199="não",Base_Original!J199="NÃO",Base_Original!J199="Nao"),"Não",IF(Base_Original!J199="","vazio",Base_Original!J199)))</f>
        <v>Não</v>
      </c>
      <c r="R199" s="46">
        <f>IF(ISNUMBER(Base_Original!K199),Base_Original!K199,IF(RIGHT(Base_Original!K199,9)=" batalhas",VALUE(LEFT(Base_Original!K199,LEN(Base_Original!K199)-9)),Base_Original!K199))</f>
        <v>45</v>
      </c>
      <c r="S199" s="42" t="str">
        <f>IF($R199="vazio","vazio",IF($R199&lt;=10,"Baixo",IF($R199&lt;=25,"Médio","Alto")))</f>
        <v>Alto</v>
      </c>
      <c r="T199" s="42" t="str">
        <f>IF(AND($S199="Alto",$Q199="Sim"),"Negada","Aprovada")</f>
        <v>Aprovada</v>
      </c>
      <c r="U199" s="43">
        <v>62000</v>
      </c>
    </row>
    <row r="200" spans="1:21">
      <c r="A200" s="47" t="s">
        <v>1054</v>
      </c>
      <c r="B200" s="37" t="str">
        <f>IF(Base_Original!A200="","vazio",IF(Base_Original!A200="ATIVO","Ativo",IF(Base_Original!A200="INATIVO","Inativo",Base_Original!A200)))</f>
        <v>Ativo</v>
      </c>
      <c r="C200" s="37" t="str">
        <f>PROPER(Base_Original!B200)</f>
        <v>Meera Tarly</v>
      </c>
      <c r="D200" s="38" t="s">
        <v>464</v>
      </c>
      <c r="E200" s="39" t="str">
        <f>IF($D200="","Vazio",IF(LEN(SUBSTITUTE(SUBSTITUTE($D200&amp;"",".",""),"-",""))&lt;&gt;11,"Inválido","OK"))</f>
        <v>OK</v>
      </c>
      <c r="F200" s="39" t="str">
        <f>IF($D200="","Vazio",IF(COUNTIF($D$2:$D$369,$D200)&gt;1,"Duplicado","Único"))</f>
        <v>Único</v>
      </c>
      <c r="G200" s="40" t="str">
        <f>IF(TRIM(Base_Original!D200)="","",SUBSTITUTE(TRIM(Base_Original!D200),"anos",""))</f>
        <v/>
      </c>
      <c r="H200" s="50">
        <f>IF($J200="","Vazio",DATEDIF($J200,DATE(2026,9,10),"Y"))</f>
        <v>74</v>
      </c>
      <c r="I20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200" s="33">
        <v>19168</v>
      </c>
      <c r="K200" s="42" t="s">
        <v>44</v>
      </c>
      <c r="L200" s="42" t="str">
        <f>PROPER(Base_Original!G200)</f>
        <v>Ilhas De Ferro</v>
      </c>
      <c r="M200" s="43">
        <v>25000</v>
      </c>
      <c r="N200" s="43">
        <f>IF(ISNUMBER(Base_Original!I200),Base_Original!I200,IF(RIGHT(Base_Original!I200,7)=" moedas",VALUE(LEFT(Base_Original!I200,LEN(Base_Original!I200)-7)),Base_Original!I200))</f>
        <v>0</v>
      </c>
      <c r="O200" s="44" t="str">
        <f>IF(AND($N200&gt;50000,$Q200="Sim"),"Negada","Aprovada")</f>
        <v>Aprovada</v>
      </c>
      <c r="P200" s="45">
        <f>IF(AND($T200="Negada",$O200="Negada"),0,IF($B200="Ativo",$U200*8%,"0"))</f>
        <v>200</v>
      </c>
      <c r="Q200" s="46" t="str">
        <f>IF(OR(Base_Original!J200="Sim",Base_Original!J200="sim",Base_Original!J200="SIM"),"Sim",IF(OR(Base_Original!J200="Não",Base_Original!J200="não",Base_Original!J200="NÃO",Base_Original!J200="Nao"),"Não",IF(Base_Original!J200="","vazio",Base_Original!J200)))</f>
        <v>Não</v>
      </c>
      <c r="R200" s="46">
        <f>IF(ISNUMBER(Base_Original!K200),Base_Original!K200,IF(RIGHT(Base_Original!K200,9)=" batalhas",VALUE(LEFT(Base_Original!K200,LEN(Base_Original!K200)-9)),Base_Original!K200))</f>
        <v>3</v>
      </c>
      <c r="S200" s="42" t="str">
        <f>IF($R200="vazio","vazio",IF($R200&lt;=10,"Baixo",IF($R200&lt;=25,"Médio","Alto")))</f>
        <v>Baixo</v>
      </c>
      <c r="T200" s="42" t="str">
        <f>IF(AND($S200="Alto",$Q200="Sim"),"Negada","Aprovada")</f>
        <v>Aprovada</v>
      </c>
      <c r="U200" s="43">
        <v>2500</v>
      </c>
    </row>
    <row r="201" spans="1:21">
      <c r="A201" s="47" t="s">
        <v>1055</v>
      </c>
      <c r="B201" s="37" t="str">
        <f>IF(Base_Original!A201="","vazio",IF(Base_Original!A201="ATIVO","Ativo",IF(Base_Original!A201="INATIVO","Inativo",Base_Original!A201)))</f>
        <v>Ativo</v>
      </c>
      <c r="C201" s="37" t="str">
        <f>PROPER(Base_Original!B201)</f>
        <v>Melisandre  Baelish</v>
      </c>
      <c r="D201" s="38" t="s">
        <v>466</v>
      </c>
      <c r="E201" s="39" t="str">
        <f>IF($D201="","Vazio",IF(LEN(SUBSTITUTE(SUBSTITUTE($D201&amp;"",".",""),"-",""))&lt;&gt;11,"Inválido","OK"))</f>
        <v>OK</v>
      </c>
      <c r="F201" s="39" t="str">
        <f>IF($D201="","Vazio",IF(COUNTIF($D$2:$D$369,$D201)&gt;1,"Duplicado","Único"))</f>
        <v>Único</v>
      </c>
      <c r="G201" s="40" t="str">
        <f>IF(TRIM(Base_Original!D201)="","",SUBSTITUTE(TRIM(Base_Original!D201),"anos",""))</f>
        <v>69</v>
      </c>
      <c r="H201" s="50">
        <f>IF($J201="","Vazio",DATEDIF($J201,DATE(2026,9,10),"Y"))</f>
        <v>69</v>
      </c>
      <c r="I20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01" s="33">
        <v>21051</v>
      </c>
      <c r="K201" s="42" t="s">
        <v>180</v>
      </c>
      <c r="L201" s="42" t="str">
        <f>PROPER(Base_Original!G201)</f>
        <v>Terras Da Tempestade</v>
      </c>
      <c r="M201" s="43">
        <v>25100</v>
      </c>
      <c r="N201" s="43">
        <f>IF(ISNUMBER(Base_Original!I201),Base_Original!I201,IF(RIGHT(Base_Original!I201,7)=" moedas",VALUE(LEFT(Base_Original!I201,LEN(Base_Original!I201)-7)),Base_Original!I201))</f>
        <v>40500</v>
      </c>
      <c r="O201" s="44" t="str">
        <f>IF(AND($N201&gt;50000,$Q201="Sim"),"Negada","Aprovada")</f>
        <v>Aprovada</v>
      </c>
      <c r="P201" s="45">
        <f>IF(AND($T201="Negada",$O201="Negada"),0,IF($B201="Ativo",$U201*8%,"0"))</f>
        <v>1960</v>
      </c>
      <c r="Q201" s="46" t="str">
        <f>IF(OR(Base_Original!J201="Sim",Base_Original!J201="sim",Base_Original!J201="SIM"),"Sim",IF(OR(Base_Original!J201="Não",Base_Original!J201="não",Base_Original!J201="NÃO",Base_Original!J201="Nao"),"Não",IF(Base_Original!J201="","vazio",Base_Original!J201)))</f>
        <v>Não</v>
      </c>
      <c r="R201" s="46">
        <f>IF(ISNUMBER(Base_Original!K201),Base_Original!K201,IF(RIGHT(Base_Original!K201,9)=" batalhas",VALUE(LEFT(Base_Original!K201,LEN(Base_Original!K201)-9)),Base_Original!K201))</f>
        <v>43</v>
      </c>
      <c r="S201" s="42" t="str">
        <f>IF($R201="vazio","vazio",IF($R201&lt;=10,"Baixo",IF($R201&lt;=25,"Médio","Alto")))</f>
        <v>Alto</v>
      </c>
      <c r="T201" s="42" t="str">
        <f>IF(AND($S201="Alto",$Q201="Sim"),"Negada","Aprovada")</f>
        <v>Aprovada</v>
      </c>
      <c r="U201" s="43">
        <v>24500</v>
      </c>
    </row>
    <row r="202" spans="1:21">
      <c r="A202" s="47" t="s">
        <v>1056</v>
      </c>
      <c r="B202" s="37" t="str">
        <f>IF(Base_Original!A203="","vazio",IF(Base_Original!A203="ATIVO","Ativo",IF(Base_Original!A203="INATIVO","Inativo",Base_Original!A203)))</f>
        <v>Ativo</v>
      </c>
      <c r="C202" s="37" t="str">
        <f>PROPER(Base_Original!B203)</f>
        <v>Melisandre Baratheon</v>
      </c>
      <c r="D202" s="38" t="s">
        <v>469</v>
      </c>
      <c r="E202" s="39" t="str">
        <f>IF($D202="","Vazio",IF(LEN(SUBSTITUTE(SUBSTITUTE($D202&amp;"",".",""),"-",""))&lt;&gt;11,"Inválido","OK"))</f>
        <v>OK</v>
      </c>
      <c r="F202" s="39" t="str">
        <f>IF($D202="","Vazio",IF(COUNTIF($D$2:$D$369,$D202)&gt;1,"Duplicado","Único"))</f>
        <v>Único</v>
      </c>
      <c r="G202" s="40" t="str">
        <f>IF(TRIM(Base_Original!D202)="","",SUBSTITUTE(TRIM(Base_Original!D202),"anos",""))</f>
        <v>58</v>
      </c>
      <c r="H202" s="50">
        <f>IF($J202="","Vazio",DATEDIF($J202,DATE(2026,9,10),"Y"))</f>
        <v>58</v>
      </c>
      <c r="I20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02" s="33">
        <v>25054</v>
      </c>
      <c r="K202" s="42" t="s">
        <v>104</v>
      </c>
      <c r="L202" s="42" t="str">
        <f>PROPER(Base_Original!G203)</f>
        <v>Essos</v>
      </c>
      <c r="M202" s="43">
        <v>4500</v>
      </c>
      <c r="N202" s="43">
        <f>IF(ISNUMBER(Base_Original!I203),Base_Original!I203,IF(RIGHT(Base_Original!I203,7)=" moedas",VALUE(LEFT(Base_Original!I203,LEN(Base_Original!I203)-7)),Base_Original!I203))</f>
        <v>0</v>
      </c>
      <c r="O202" s="44" t="str">
        <f>IF(AND($N202&gt;50000,$Q202="Sim"),"Negada","Aprovada")</f>
        <v>Aprovada</v>
      </c>
      <c r="P202" s="45">
        <f>IF(AND($T202="Negada",$O202="Negada"),0,IF($B202="Ativo",$U202*8%,"0"))</f>
        <v>3920</v>
      </c>
      <c r="Q202" s="46" t="str">
        <f>IF(OR(Base_Original!J203="Sim",Base_Original!J203="sim",Base_Original!J203="SIM"),"Sim",IF(OR(Base_Original!J203="Não",Base_Original!J203="não",Base_Original!J203="NÃO",Base_Original!J203="Nao"),"Não",IF(Base_Original!J203="","vazio",Base_Original!J203)))</f>
        <v>Não</v>
      </c>
      <c r="R202" s="46">
        <f>IF(ISNUMBER(Base_Original!K203),Base_Original!K203,IF(RIGHT(Base_Original!K203,9)=" batalhas",VALUE(LEFT(Base_Original!K203,LEN(Base_Original!K203)-9)),Base_Original!K203))</f>
        <v>27</v>
      </c>
      <c r="S202" s="42" t="str">
        <f>IF($R202="vazio","vazio",IF($R202&lt;=10,"Baixo",IF($R202&lt;=25,"Médio","Alto")))</f>
        <v>Alto</v>
      </c>
      <c r="T202" s="42" t="str">
        <f>IF(AND($S202="Alto",$Q202="Sim"),"Negada","Aprovada")</f>
        <v>Aprovada</v>
      </c>
      <c r="U202" s="43">
        <v>49000</v>
      </c>
    </row>
    <row r="203" spans="1:21">
      <c r="A203" s="47" t="s">
        <v>1057</v>
      </c>
      <c r="B203" s="37" t="str">
        <f>IF(Base_Original!A202="","vazio",IF(Base_Original!A202="ATIVO","Ativo",IF(Base_Original!A202="INATIVO","Inativo",Base_Original!A202)))</f>
        <v>Inativo</v>
      </c>
      <c r="C203" s="37" t="str">
        <f>PROPER(Base_Original!B202)</f>
        <v>Melisandre Baratheon</v>
      </c>
      <c r="D203" s="38" t="s">
        <v>471</v>
      </c>
      <c r="E203" s="39" t="str">
        <f>IF($D203="","Vazio",IF(LEN(SUBSTITUTE(SUBSTITUTE($D203&amp;"",".",""),"-",""))&lt;&gt;11,"Inválido","OK"))</f>
        <v>OK</v>
      </c>
      <c r="F203" s="39" t="str">
        <f>IF($D203="","Vazio",IF(COUNTIF($D$2:$D$369,$D203)&gt;1,"Duplicado","Único"))</f>
        <v>Único</v>
      </c>
      <c r="G203" s="40" t="str">
        <f>IF(TRIM(Base_Original!D203)="","",SUBSTITUTE(TRIM(Base_Original!D203),"anos",""))</f>
        <v>22</v>
      </c>
      <c r="H203" s="50" t="s">
        <v>909</v>
      </c>
      <c r="I203" s="51" t="s">
        <v>909</v>
      </c>
      <c r="J203" s="33"/>
      <c r="K203" s="42" t="s">
        <v>30</v>
      </c>
      <c r="L203" s="42" t="str">
        <f>PROPER(Base_Original!G202)</f>
        <v>Terras Da Coroa</v>
      </c>
      <c r="M203" s="43">
        <v>14400</v>
      </c>
      <c r="N203" s="43">
        <f>IF(ISNUMBER(Base_Original!I202),Base_Original!I202,IF(RIGHT(Base_Original!I202,7)=" moedas",VALUE(LEFT(Base_Original!I202,LEN(Base_Original!I202)-7)),Base_Original!I202))</f>
        <v>20000</v>
      </c>
      <c r="O203" s="44" t="str">
        <f>IF(AND($N203&gt;50000,$Q203="Sim"),"Negada","Aprovada")</f>
        <v>Aprovada</v>
      </c>
      <c r="P203" s="45" t="str">
        <f>IF(AND($T203="Negada",$O203="Negada"),0,IF($B203="Ativo",$U203*8%,"0"))</f>
        <v>0</v>
      </c>
      <c r="Q203" s="46" t="str">
        <f>IF(OR(Base_Original!J202="Sim",Base_Original!J202="sim",Base_Original!J202="SIM"),"Sim",IF(OR(Base_Original!J202="Não",Base_Original!J202="não",Base_Original!J202="NÃO",Base_Original!J202="Nao"),"Não",IF(Base_Original!J202="","vazio",Base_Original!J202)))</f>
        <v>Sim</v>
      </c>
      <c r="R203" s="46">
        <f>IF(ISNUMBER(Base_Original!K202),Base_Original!K202,IF(RIGHT(Base_Original!K202,9)=" batalhas",VALUE(LEFT(Base_Original!K202,LEN(Base_Original!K202)-9)),Base_Original!K202))</f>
        <v>9</v>
      </c>
      <c r="S203" s="42" t="str">
        <f>IF($R203="vazio","vazio",IF($R203&lt;=10,"Baixo",IF($R203&lt;=25,"Médio","Alto")))</f>
        <v>Baixo</v>
      </c>
      <c r="T203" s="42" t="str">
        <f>IF(AND($S203="Alto",$Q203="Sim"),"Negada","Aprovada")</f>
        <v>Aprovada</v>
      </c>
      <c r="U203" s="43">
        <v>33500</v>
      </c>
    </row>
    <row r="204" spans="1:21">
      <c r="A204" s="47" t="s">
        <v>1058</v>
      </c>
      <c r="B204" s="37" t="str">
        <f>IF(Base_Original!A204="","vazio",IF(Base_Original!A204="ATIVO","Ativo",IF(Base_Original!A204="INATIVO","Inativo",Base_Original!A204)))</f>
        <v>Ativo</v>
      </c>
      <c r="C204" s="37" t="str">
        <f>PROPER(Base_Original!B204)</f>
        <v>Melisandre Blackwood</v>
      </c>
      <c r="D204" s="38" t="s">
        <v>473</v>
      </c>
      <c r="E204" s="39" t="str">
        <f>IF($D204="","Vazio",IF(LEN(SUBSTITUTE(SUBSTITUTE($D204&amp;"",".",""),"-",""))&lt;&gt;11,"Inválido","OK"))</f>
        <v>OK</v>
      </c>
      <c r="F204" s="39" t="str">
        <f>IF($D204="","Vazio",IF(COUNTIF($D$2:$D$369,$D204)&gt;1,"Duplicado","Único"))</f>
        <v>Único</v>
      </c>
      <c r="G204" s="40" t="str">
        <f>IF(TRIM(Base_Original!D204)="","",SUBSTITUTE(TRIM(Base_Original!D204),"anos",""))</f>
        <v>40</v>
      </c>
      <c r="H204" s="50">
        <f>IF($J204="","Vazio",DATEDIF($J204,DATE(2026,9,10),"Y"))</f>
        <v>40</v>
      </c>
      <c r="I20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04" s="33">
        <v>31647</v>
      </c>
      <c r="K204" s="42" t="s">
        <v>99</v>
      </c>
      <c r="L204" s="42" t="str">
        <f>PROPER(Base_Original!G204)</f>
        <v>Norte</v>
      </c>
      <c r="M204" s="43">
        <v>18700</v>
      </c>
      <c r="N204" s="43">
        <f>IF(ISNUMBER(Base_Original!I204),Base_Original!I204,IF(RIGHT(Base_Original!I204,7)=" moedas",VALUE(LEFT(Base_Original!I204,LEN(Base_Original!I204)-7)),Base_Original!I204))</f>
        <v>15000</v>
      </c>
      <c r="O204" s="44" t="str">
        <f>IF(AND($N204&gt;50000,$Q204="Sim"),"Negada","Aprovada")</f>
        <v>Aprovada</v>
      </c>
      <c r="P204" s="45">
        <f>IF(AND($T204="Negada",$O204="Negada"),0,IF($B204="Ativo",$U204*8%,"0"))</f>
        <v>7160</v>
      </c>
      <c r="Q204" s="46" t="str">
        <f>IF(OR(Base_Original!J204="Sim",Base_Original!J204="sim",Base_Original!J204="SIM"),"Sim",IF(OR(Base_Original!J204="Não",Base_Original!J204="não",Base_Original!J204="NÃO",Base_Original!J204="Nao"),"Não",IF(Base_Original!J204="","vazio",Base_Original!J204)))</f>
        <v>vazio</v>
      </c>
      <c r="R204" s="46">
        <f>IF(ISNUMBER(Base_Original!K204),Base_Original!K204,IF(RIGHT(Base_Original!K204,9)=" batalhas",VALUE(LEFT(Base_Original!K204,LEN(Base_Original!K204)-9)),Base_Original!K204))</f>
        <v>26</v>
      </c>
      <c r="S204" s="42" t="str">
        <f>IF($R204="vazio","vazio",IF($R204&lt;=10,"Baixo",IF($R204&lt;=25,"Médio","Alto")))</f>
        <v>Alto</v>
      </c>
      <c r="T204" s="42" t="str">
        <f>IF(AND($S204="Alto",$Q204="Sim"),"Negada","Aprovada")</f>
        <v>Aprovada</v>
      </c>
      <c r="U204" s="43">
        <v>89500</v>
      </c>
    </row>
    <row r="205" spans="1:21">
      <c r="A205" s="47" t="s">
        <v>1059</v>
      </c>
      <c r="B205" s="37" t="str">
        <f>IF(Base_Original!A205="","vazio",IF(Base_Original!A205="ATIVO","Ativo",IF(Base_Original!A205="INATIVO","Inativo",Base_Original!A205)))</f>
        <v>Ativo</v>
      </c>
      <c r="C205" s="37" t="str">
        <f>PROPER(Base_Original!B205)</f>
        <v>Melisandre Cerwyn</v>
      </c>
      <c r="D205" s="38" t="s">
        <v>475</v>
      </c>
      <c r="E205" s="39" t="str">
        <f>IF($D205="","Vazio",IF(LEN(SUBSTITUTE(SUBSTITUTE($D205&amp;"",".",""),"-",""))&lt;&gt;11,"Inválido","OK"))</f>
        <v>OK</v>
      </c>
      <c r="F205" s="39" t="str">
        <f>IF($D205="","Vazio",IF(COUNTIF($D$2:$D$369,$D205)&gt;1,"Duplicado","Único"))</f>
        <v>Único</v>
      </c>
      <c r="G205" s="40" t="str">
        <f>IF(TRIM(Base_Original!D205)="","",SUBSTITUTE(TRIM(Base_Original!D205),"anos",""))</f>
        <v>29</v>
      </c>
      <c r="H205" s="50">
        <f>IF($J205="","Vazio",DATEDIF($J205,DATE(2026,9,10),"Y"))</f>
        <v>29</v>
      </c>
      <c r="I20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05" s="33">
        <v>35392</v>
      </c>
      <c r="K205" s="42" t="s">
        <v>150</v>
      </c>
      <c r="L205" s="42" t="str">
        <f>PROPER(Base_Original!G205)</f>
        <v/>
      </c>
      <c r="M205" s="43">
        <v>6400</v>
      </c>
      <c r="N205" s="43">
        <f>IF(ISNUMBER(Base_Original!I205),Base_Original!I205,IF(RIGHT(Base_Original!I205,7)=" moedas",VALUE(LEFT(Base_Original!I205,LEN(Base_Original!I205)-7)),Base_Original!I205))</f>
        <v>19500</v>
      </c>
      <c r="O205" s="44" t="str">
        <f>IF(AND($N205&gt;50000,$Q205="Sim"),"Negada","Aprovada")</f>
        <v>Aprovada</v>
      </c>
      <c r="P205" s="45">
        <f>IF(AND($T205="Negada",$O205="Negada"),0,IF($B205="Ativo",$U205*8%,"0"))</f>
        <v>4080</v>
      </c>
      <c r="Q205" s="46" t="str">
        <f>IF(OR(Base_Original!J205="Sim",Base_Original!J205="sim",Base_Original!J205="SIM"),"Sim",IF(OR(Base_Original!J205="Não",Base_Original!J205="não",Base_Original!J205="NÃO",Base_Original!J205="Nao"),"Não",IF(Base_Original!J205="","vazio",Base_Original!J205)))</f>
        <v>Não</v>
      </c>
      <c r="R205" s="46">
        <f>IF(ISNUMBER(Base_Original!K205),Base_Original!K205,IF(RIGHT(Base_Original!K205,9)=" batalhas",VALUE(LEFT(Base_Original!K205,LEN(Base_Original!K205)-9)),Base_Original!K205))</f>
        <v>30</v>
      </c>
      <c r="S205" s="42" t="str">
        <f>IF($R205="vazio","vazio",IF($R205&lt;=10,"Baixo",IF($R205&lt;=25,"Médio","Alto")))</f>
        <v>Alto</v>
      </c>
      <c r="T205" s="42" t="str">
        <f>IF(AND($S205="Alto",$Q205="Sim"),"Negada","Aprovada")</f>
        <v>Aprovada</v>
      </c>
      <c r="U205" s="43">
        <v>51000</v>
      </c>
    </row>
    <row r="206" spans="1:21">
      <c r="A206" s="47" t="s">
        <v>1060</v>
      </c>
      <c r="B206" s="37" t="str">
        <f>IF(Base_Original!A206="","vazio",IF(Base_Original!A206="ATIVO","Ativo",IF(Base_Original!A206="INATIVO","Inativo",Base_Original!A206)))</f>
        <v>Inativo</v>
      </c>
      <c r="C206" s="37" t="str">
        <f>PROPER(Base_Original!B206)</f>
        <v>Melisandre Clegane</v>
      </c>
      <c r="D206" s="38" t="s">
        <v>478</v>
      </c>
      <c r="E206" s="39" t="str">
        <f>IF($D206="","Vazio",IF(LEN(SUBSTITUTE(SUBSTITUTE($D206&amp;"",".",""),"-",""))&lt;&gt;11,"Inválido","OK"))</f>
        <v>OK</v>
      </c>
      <c r="F206" s="39" t="str">
        <f>IF($D206="","Vazio",IF(COUNTIF($D$2:$D$369,$D206)&gt;1,"Duplicado","Único"))</f>
        <v>Único</v>
      </c>
      <c r="G206" s="40" t="str">
        <f>IF(TRIM(Base_Original!D206)="","",SUBSTITUTE(TRIM(Base_Original!D206),"anos",""))</f>
        <v>53</v>
      </c>
      <c r="H206" s="50">
        <f>IF($J206="","Vazio",DATEDIF($J206,DATE(2026,9,10),"Y"))</f>
        <v>53</v>
      </c>
      <c r="I20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06" s="33">
        <v>26629</v>
      </c>
      <c r="K206" s="42" t="s">
        <v>75</v>
      </c>
      <c r="L206" s="42" t="str">
        <f>PROPER(Base_Original!G206)</f>
        <v>Norte</v>
      </c>
      <c r="M206" s="43">
        <v>16500</v>
      </c>
      <c r="N206" s="43">
        <f>IF(ISNUMBER(Base_Original!I206),Base_Original!I206,IF(RIGHT(Base_Original!I206,7)=" moedas",VALUE(LEFT(Base_Original!I206,LEN(Base_Original!I206)-7)),Base_Original!I206))</f>
        <v>4000</v>
      </c>
      <c r="O206" s="44" t="str">
        <f>IF(AND($N206&gt;50000,$Q206="Sim"),"Negada","Aprovada")</f>
        <v>Aprovada</v>
      </c>
      <c r="P206" s="45" t="str">
        <f>IF(AND($T206="Negada",$O206="Negada"),0,IF($B206="Ativo",$U206*8%,"0"))</f>
        <v>0</v>
      </c>
      <c r="Q206" s="46" t="str">
        <f>IF(OR(Base_Original!J206="Sim",Base_Original!J206="sim",Base_Original!J206="SIM"),"Sim",IF(OR(Base_Original!J206="Não",Base_Original!J206="não",Base_Original!J206="NÃO",Base_Original!J206="Nao"),"Não",IF(Base_Original!J206="","vazio",Base_Original!J206)))</f>
        <v>Não</v>
      </c>
      <c r="R206" s="46">
        <f>IF(ISNUMBER(Base_Original!K206),Base_Original!K206,IF(RIGHT(Base_Original!K206,9)=" batalhas",VALUE(LEFT(Base_Original!K206,LEN(Base_Original!K206)-9)),Base_Original!K206))</f>
        <v>14</v>
      </c>
      <c r="S206" s="42" t="str">
        <f>IF($R206="vazio","vazio",IF($R206&lt;=10,"Baixo",IF($R206&lt;=25,"Médio","Alto")))</f>
        <v>Médio</v>
      </c>
      <c r="T206" s="42" t="str">
        <f>IF(AND($S206="Alto",$Q206="Sim"),"Negada","Aprovada")</f>
        <v>Aprovada</v>
      </c>
      <c r="U206" s="43">
        <v>36000</v>
      </c>
    </row>
    <row r="207" spans="1:21">
      <c r="A207" s="47" t="s">
        <v>1061</v>
      </c>
      <c r="B207" s="37" t="str">
        <f>IF(Base_Original!A207="","vazio",IF(Base_Original!A207="ATIVO","Ativo",IF(Base_Original!A207="INATIVO","Inativo",Base_Original!A207)))</f>
        <v>Inativo</v>
      </c>
      <c r="C207" s="37" t="str">
        <f>PROPER(Base_Original!B207)</f>
        <v>Melisandre Crakehall</v>
      </c>
      <c r="D207" s="38" t="s">
        <v>480</v>
      </c>
      <c r="E207" s="39" t="str">
        <f>IF($D207="","Vazio",IF(LEN(SUBSTITUTE(SUBSTITUTE($D207&amp;"",".",""),"-",""))&lt;&gt;11,"Inválido","OK"))</f>
        <v>OK</v>
      </c>
      <c r="F207" s="39" t="str">
        <f>IF($D207="","Vazio",IF(COUNTIF($D$2:$D$369,$D207)&gt;1,"Duplicado","Único"))</f>
        <v>Único</v>
      </c>
      <c r="G207" s="40" t="str">
        <f>IF(TRIM(Base_Original!D207)="","",SUBSTITUTE(TRIM(Base_Original!D207),"anos",""))</f>
        <v>31</v>
      </c>
      <c r="H207" s="50">
        <f>IF($J207="","Vazio",DATEDIF($J207,DATE(2026,9,10),"Y"))</f>
        <v>31</v>
      </c>
      <c r="I20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07" s="33">
        <v>34885</v>
      </c>
      <c r="K207" s="42" t="s">
        <v>69</v>
      </c>
      <c r="L207" s="42" t="str">
        <f>PROPER(Base_Original!G207)</f>
        <v>Terras Da Coroa</v>
      </c>
      <c r="M207" s="43">
        <v>16400</v>
      </c>
      <c r="N207" s="43">
        <f>IF(ISNUMBER(Base_Original!I207),Base_Original!I207,IF(RIGHT(Base_Original!I207,7)=" moedas",VALUE(LEFT(Base_Original!I207,LEN(Base_Original!I207)-7)),Base_Original!I207))</f>
        <v>45500</v>
      </c>
      <c r="O207" s="44" t="str">
        <f>IF(AND($N207&gt;50000,$Q207="Sim"),"Negada","Aprovada")</f>
        <v>Aprovada</v>
      </c>
      <c r="P207" s="45" t="str">
        <f>IF(AND($T207="Negada",$O207="Negada"),0,IF($B207="Ativo",$U207*8%,"0"))</f>
        <v>0</v>
      </c>
      <c r="Q207" s="46" t="str">
        <f>IF(OR(Base_Original!J207="Sim",Base_Original!J207="sim",Base_Original!J207="SIM"),"Sim",IF(OR(Base_Original!J207="Não",Base_Original!J207="não",Base_Original!J207="NÃO",Base_Original!J207="Nao"),"Não",IF(Base_Original!J207="","vazio",Base_Original!J207)))</f>
        <v>Não</v>
      </c>
      <c r="R207" s="46">
        <f>IF(ISNUMBER(Base_Original!K207),Base_Original!K207,IF(RIGHT(Base_Original!K207,9)=" batalhas",VALUE(LEFT(Base_Original!K207,LEN(Base_Original!K207)-9)),Base_Original!K207))</f>
        <v>6</v>
      </c>
      <c r="S207" s="42" t="str">
        <f>IF($R207="vazio","vazio",IF($R207&lt;=10,"Baixo",IF($R207&lt;=25,"Médio","Alto")))</f>
        <v>Baixo</v>
      </c>
      <c r="T207" s="42" t="str">
        <f>IF(AND($S207="Alto",$Q207="Sim"),"Negada","Aprovada")</f>
        <v>Aprovada</v>
      </c>
      <c r="U207" s="43">
        <v>49500</v>
      </c>
    </row>
    <row r="208" spans="1:21">
      <c r="A208" s="47" t="s">
        <v>1062</v>
      </c>
      <c r="B208" s="37" t="str">
        <f>IF(Base_Original!A208="","vazio",IF(Base_Original!A208="ATIVO","Ativo",IF(Base_Original!A208="INATIVO","Inativo",Base_Original!A208)))</f>
        <v>Ativo</v>
      </c>
      <c r="C208" s="37" t="str">
        <f>PROPER(Base_Original!B208)</f>
        <v>Melisandre Glover</v>
      </c>
      <c r="D208" s="38" t="s">
        <v>483</v>
      </c>
      <c r="E208" s="39" t="str">
        <f>IF($D208="","Vazio",IF(LEN(SUBSTITUTE(SUBSTITUTE($D208&amp;"",".",""),"-",""))&lt;&gt;11,"Inválido","OK"))</f>
        <v>OK</v>
      </c>
      <c r="F208" s="39" t="str">
        <f>IF($D208="","Vazio",IF(COUNTIF($D$2:$D$369,$D208)&gt;1,"Duplicado","Único"))</f>
        <v>Único</v>
      </c>
      <c r="G208" s="40" t="str">
        <f>IF(TRIM(Base_Original!D208)="","",SUBSTITUTE(TRIM(Base_Original!D208),"anos",""))</f>
        <v>22</v>
      </c>
      <c r="H208" s="50">
        <f>IF($J208="","Vazio",DATEDIF($J208,DATE(2026,9,10),"Y"))</f>
        <v>22</v>
      </c>
      <c r="I20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08" s="33">
        <v>38204</v>
      </c>
      <c r="K208" s="42" t="s">
        <v>51</v>
      </c>
      <c r="L208" s="42" t="str">
        <f>PROPER(Base_Original!G208)</f>
        <v>Vale</v>
      </c>
      <c r="M208" s="43">
        <v>10500</v>
      </c>
      <c r="N208" s="43">
        <f>IF(ISNUMBER(Base_Original!I208),Base_Original!I208,IF(RIGHT(Base_Original!I208,7)=" moedas",VALUE(LEFT(Base_Original!I208,LEN(Base_Original!I208)-7)),Base_Original!I208))</f>
        <v>50500</v>
      </c>
      <c r="O208" s="44" t="str">
        <f>IF(AND($N208&gt;50000,$Q208="Sim"),"Negada","Aprovada")</f>
        <v>Aprovada</v>
      </c>
      <c r="P208" s="45">
        <f>IF(AND($T208="Negada",$O208="Negada"),0,IF($B208="Ativo",$U208*8%,"0"))</f>
        <v>3320</v>
      </c>
      <c r="Q208" s="46" t="str">
        <f>IF(OR(Base_Original!J208="Sim",Base_Original!J208="sim",Base_Original!J208="SIM"),"Sim",IF(OR(Base_Original!J208="Não",Base_Original!J208="não",Base_Original!J208="NÃO",Base_Original!J208="Nao"),"Não",IF(Base_Original!J208="","vazio",Base_Original!J208)))</f>
        <v>Não</v>
      </c>
      <c r="R208" s="46">
        <f>IF(ISNUMBER(Base_Original!K208),Base_Original!K208,IF(RIGHT(Base_Original!K208,9)=" batalhas",VALUE(LEFT(Base_Original!K208,LEN(Base_Original!K208)-9)),Base_Original!K208))</f>
        <v>16</v>
      </c>
      <c r="S208" s="42" t="str">
        <f>IF($R208="vazio","vazio",IF($R208&lt;=10,"Baixo",IF($R208&lt;=25,"Médio","Alto")))</f>
        <v>Médio</v>
      </c>
      <c r="T208" s="42" t="str">
        <f>IF(AND($S208="Alto",$Q208="Sim"),"Negada","Aprovada")</f>
        <v>Aprovada</v>
      </c>
      <c r="U208" s="43">
        <v>41500</v>
      </c>
    </row>
    <row r="209" spans="1:21">
      <c r="A209" s="47" t="s">
        <v>1063</v>
      </c>
      <c r="B209" s="37" t="str">
        <f>IF(Base_Original!A209="","vazio",IF(Base_Original!A209="ATIVO","Ativo",IF(Base_Original!A209="INATIVO","Inativo",Base_Original!A209)))</f>
        <v>Ativo</v>
      </c>
      <c r="C209" s="37" t="str">
        <f>PROPER(Base_Original!B209)</f>
        <v>Melisandre Targaryen</v>
      </c>
      <c r="D209" s="38" t="s">
        <v>485</v>
      </c>
      <c r="E209" s="39" t="str">
        <f>IF($D209="","Vazio",IF(LEN(SUBSTITUTE(SUBSTITUTE($D209&amp;"",".",""),"-",""))&lt;&gt;11,"Inválido","OK"))</f>
        <v>OK</v>
      </c>
      <c r="F209" s="39" t="str">
        <f>IF($D209="","Vazio",IF(COUNTIF($D$2:$D$369,$D209)&gt;1,"Duplicado","Único"))</f>
        <v>Único</v>
      </c>
      <c r="G209" s="40" t="str">
        <f>IF(TRIM(Base_Original!D209)="","",SUBSTITUTE(TRIM(Base_Original!D209),"anos",""))</f>
        <v>31</v>
      </c>
      <c r="H209" s="50">
        <f>IF($J209="","Vazio",DATEDIF($J209,DATE(2026,9,10),"Y"))</f>
        <v>31</v>
      </c>
      <c r="I20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09" s="33">
        <v>34852</v>
      </c>
      <c r="K209" s="42" t="s">
        <v>142</v>
      </c>
      <c r="L209" s="42" t="str">
        <f>PROPER(Base_Original!G209)</f>
        <v/>
      </c>
      <c r="M209" s="43">
        <v>20500</v>
      </c>
      <c r="N209" s="43">
        <f>IF(ISNUMBER(Base_Original!I209),Base_Original!I209,IF(RIGHT(Base_Original!I209,7)=" moedas",VALUE(LEFT(Base_Original!I209,LEN(Base_Original!I209)-7)),Base_Original!I209))</f>
        <v>47500</v>
      </c>
      <c r="O209" s="44" t="str">
        <f>IF(AND($N209&gt;50000,$Q209="Sim"),"Negada","Aprovada")</f>
        <v>Aprovada</v>
      </c>
      <c r="P209" s="45">
        <f>IF(AND($T209="Negada",$O209="Negada"),0,IF($B209="Ativo",$U209*8%,"0"))</f>
        <v>1480</v>
      </c>
      <c r="Q209" s="46" t="str">
        <f>IF(OR(Base_Original!J209="Sim",Base_Original!J209="sim",Base_Original!J209="SIM"),"Sim",IF(OR(Base_Original!J209="Não",Base_Original!J209="não",Base_Original!J209="NÃO",Base_Original!J209="Nao"),"Não",IF(Base_Original!J209="","vazio",Base_Original!J209)))</f>
        <v>Não</v>
      </c>
      <c r="R209" s="46">
        <f>IF(ISNUMBER(Base_Original!K209),Base_Original!K209,IF(RIGHT(Base_Original!K209,9)=" batalhas",VALUE(LEFT(Base_Original!K209,LEN(Base_Original!K209)-9)),Base_Original!K209))</f>
        <v>11</v>
      </c>
      <c r="S209" s="42" t="str">
        <f>IF($R209="vazio","vazio",IF($R209&lt;=10,"Baixo",IF($R209&lt;=25,"Médio","Alto")))</f>
        <v>Médio</v>
      </c>
      <c r="T209" s="42" t="str">
        <f>IF(AND($S209="Alto",$Q209="Sim"),"Negada","Aprovada")</f>
        <v>Aprovada</v>
      </c>
      <c r="U209" s="43">
        <v>18500</v>
      </c>
    </row>
    <row r="210" spans="1:21">
      <c r="A210" s="47" t="s">
        <v>1064</v>
      </c>
      <c r="B210" s="37" t="str">
        <f>IF(Base_Original!A210="","vazio",IF(Base_Original!A210="ATIVO","Ativo",IF(Base_Original!A210="INATIVO","Inativo",Base_Original!A210)))</f>
        <v>Ativo</v>
      </c>
      <c r="C210" s="37" t="str">
        <f>PROPER(Base_Original!B210)</f>
        <v>Missandei  Tarly</v>
      </c>
      <c r="D210" s="38" t="s">
        <v>487</v>
      </c>
      <c r="E210" s="39" t="str">
        <f>IF($D210="","Vazio",IF(LEN(SUBSTITUTE(SUBSTITUTE($D210&amp;"",".",""),"-",""))&lt;&gt;11,"Inválido","OK"))</f>
        <v>OK</v>
      </c>
      <c r="F210" s="39" t="str">
        <f>IF($D210="","Vazio",IF(COUNTIF($D$2:$D$369,$D210)&gt;1,"Duplicado","Único"))</f>
        <v>Único</v>
      </c>
      <c r="G210" s="40" t="str">
        <f>IF(TRIM(Base_Original!D210)="","",SUBSTITUTE(TRIM(Base_Original!D210),"anos",""))</f>
        <v>58</v>
      </c>
      <c r="H210" s="50">
        <f>IF($J210="","Vazio",DATEDIF($J210,DATE(2026,9,10),"Y"))</f>
        <v>58</v>
      </c>
      <c r="I21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10" s="33">
        <v>24905</v>
      </c>
      <c r="K210" s="42" t="s">
        <v>30</v>
      </c>
      <c r="L210" s="42" t="str">
        <f>PROPER(Base_Original!G210)</f>
        <v>Essos</v>
      </c>
      <c r="M210" s="43">
        <v>12400</v>
      </c>
      <c r="N210" s="43">
        <f>IF(ISNUMBER(Base_Original!I210),Base_Original!I210,IF(RIGHT(Base_Original!I210,7)=" moedas",VALUE(LEFT(Base_Original!I210,LEN(Base_Original!I210)-7)),Base_Original!I210))</f>
        <v>21500</v>
      </c>
      <c r="O210" s="44" t="str">
        <f>IF(AND($N210&gt;50000,$Q210="Sim"),"Negada","Aprovada")</f>
        <v>Aprovada</v>
      </c>
      <c r="P210" s="45">
        <f>IF(AND($T210="Negada",$O210="Negada"),0,IF($B210="Ativo",$U210*8%,"0"))</f>
        <v>6400</v>
      </c>
      <c r="Q210" s="46" t="str">
        <f>IF(OR(Base_Original!J210="Sim",Base_Original!J210="sim",Base_Original!J210="SIM"),"Sim",IF(OR(Base_Original!J210="Não",Base_Original!J210="não",Base_Original!J210="NÃO",Base_Original!J210="Nao"),"Não",IF(Base_Original!J210="","vazio",Base_Original!J210)))</f>
        <v>Sim</v>
      </c>
      <c r="R210" s="46">
        <f>IF(ISNUMBER(Base_Original!K210),Base_Original!K210,IF(RIGHT(Base_Original!K210,9)=" batalhas",VALUE(LEFT(Base_Original!K210,LEN(Base_Original!K210)-9)),Base_Original!K210))</f>
        <v>24</v>
      </c>
      <c r="S210" s="42" t="str">
        <f>IF($R210="vazio","vazio",IF($R210&lt;=10,"Baixo",IF($R210&lt;=25,"Médio","Alto")))</f>
        <v>Médio</v>
      </c>
      <c r="T210" s="42" t="str">
        <f>IF(AND($S210="Alto",$Q210="Sim"),"Negada","Aprovada")</f>
        <v>Aprovada</v>
      </c>
      <c r="U210" s="43">
        <v>80000</v>
      </c>
    </row>
    <row r="211" spans="1:21">
      <c r="A211" s="47" t="s">
        <v>1065</v>
      </c>
      <c r="B211" s="37" t="str">
        <f>IF(Base_Original!A212="","vazio",IF(Base_Original!A212="ATIVO","Ativo",IF(Base_Original!A212="INATIVO","Inativo",Base_Original!A212)))</f>
        <v>Ativo</v>
      </c>
      <c r="C211" s="37" t="str">
        <f>PROPER(Base_Original!B212)</f>
        <v>Missandei Florent</v>
      </c>
      <c r="D211" s="38" t="s">
        <v>489</v>
      </c>
      <c r="E211" s="39" t="str">
        <f>IF($D211="","Vazio",IF(LEN(SUBSTITUTE(SUBSTITUTE($D211&amp;"",".",""),"-",""))&lt;&gt;11,"Inválido","OK"))</f>
        <v>OK</v>
      </c>
      <c r="F211" s="39" t="str">
        <f>IF($D211="","Vazio",IF(COUNTIF($D$2:$D$369,$D211)&gt;1,"Duplicado","Único"))</f>
        <v>Duplicado</v>
      </c>
      <c r="G211" s="40" t="str">
        <f>IF(TRIM(Base_Original!D211)="","",SUBSTITUTE(TRIM(Base_Original!D211),"anos",""))</f>
        <v>56</v>
      </c>
      <c r="H211" s="50">
        <f>IF($J211="","Vazio",DATEDIF($J211,DATE(2026,9,10),"Y"))</f>
        <v>56</v>
      </c>
      <c r="I21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11" s="33">
        <v>25671</v>
      </c>
      <c r="K211" s="42" t="s">
        <v>160</v>
      </c>
      <c r="L211" s="42" t="str">
        <f>PROPER(Base_Original!G212)</f>
        <v>Terras Fluviais</v>
      </c>
      <c r="M211" s="43">
        <v>28300</v>
      </c>
      <c r="N211" s="43">
        <f>IF(ISNUMBER(Base_Original!I212),Base_Original!I212,IF(RIGHT(Base_Original!I212,7)=" moedas",VALUE(LEFT(Base_Original!I212,LEN(Base_Original!I212)-7)),Base_Original!I212))</f>
        <v>56000</v>
      </c>
      <c r="O211" s="44" t="str">
        <f>IF(AND($N211&gt;50000,$Q211="Sim"),"Negada","Aprovada")</f>
        <v>Aprovada</v>
      </c>
      <c r="P211" s="45">
        <f>IF(AND($T211="Negada",$O211="Negada"),0,IF($B211="Ativo",$U211*8%,"0"))</f>
        <v>6760</v>
      </c>
      <c r="Q211" s="46" t="str">
        <f>IF(OR(Base_Original!J212="Sim",Base_Original!J212="sim",Base_Original!J212="SIM"),"Sim",IF(OR(Base_Original!J212="Não",Base_Original!J212="não",Base_Original!J212="NÃO",Base_Original!J212="Nao"),"Não",IF(Base_Original!J212="","vazio",Base_Original!J212)))</f>
        <v>Não</v>
      </c>
      <c r="R211" s="46">
        <f>IF(ISNUMBER(Base_Original!K212),Base_Original!K212,IF(RIGHT(Base_Original!K212,9)=" batalhas",VALUE(LEFT(Base_Original!K212,LEN(Base_Original!K212)-9)),Base_Original!K212))</f>
        <v>6</v>
      </c>
      <c r="S211" s="42" t="str">
        <f>IF($R211="vazio","vazio",IF($R211&lt;=10,"Baixo",IF($R211&lt;=25,"Médio","Alto")))</f>
        <v>Baixo</v>
      </c>
      <c r="T211" s="42" t="str">
        <f>IF(AND($S211="Alto",$Q211="Sim"),"Negada","Aprovada")</f>
        <v>Aprovada</v>
      </c>
      <c r="U211" s="43">
        <v>84500</v>
      </c>
    </row>
    <row r="212" spans="1:21">
      <c r="A212" s="47" t="s">
        <v>1066</v>
      </c>
      <c r="B212" s="37" t="str">
        <f>IF(Base_Original!A211="","vazio",IF(Base_Original!A211="ATIVO","Ativo",IF(Base_Original!A211="INATIVO","Inativo",Base_Original!A211)))</f>
        <v>Ativo</v>
      </c>
      <c r="C212" s="37" t="str">
        <f>PROPER(Base_Original!B211)</f>
        <v>Missandei Florent</v>
      </c>
      <c r="D212" s="38" t="s">
        <v>489</v>
      </c>
      <c r="E212" s="39" t="str">
        <f>IF($D212="","Vazio",IF(LEN(SUBSTITUTE(SUBSTITUTE($D212&amp;"",".",""),"-",""))&lt;&gt;11,"Inválido","OK"))</f>
        <v>OK</v>
      </c>
      <c r="F212" s="39" t="str">
        <f>IF($D212="","Vazio",IF(COUNTIF($D$2:$D$369,$D212)&gt;1,"Duplicado","Único"))</f>
        <v>Duplicado</v>
      </c>
      <c r="G212" s="40" t="str">
        <f>IF(TRIM(Base_Original!D212)="","",SUBSTITUTE(TRIM(Base_Original!D212),"anos",""))</f>
        <v>56</v>
      </c>
      <c r="H212" s="50">
        <f>IF($J212="","Vazio",DATEDIF($J212,DATE(2026,9,10),"Y"))</f>
        <v>56</v>
      </c>
      <c r="I21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12" s="33">
        <v>25671</v>
      </c>
      <c r="K212" s="42" t="s">
        <v>160</v>
      </c>
      <c r="L212" s="42" t="str">
        <f>PROPER(Base_Original!G211)</f>
        <v>Terras Fluviais</v>
      </c>
      <c r="M212" s="43">
        <v>28300</v>
      </c>
      <c r="N212" s="43">
        <f>IF(ISNUMBER(Base_Original!I211),Base_Original!I211,IF(RIGHT(Base_Original!I211,7)=" moedas",VALUE(LEFT(Base_Original!I211,LEN(Base_Original!I211)-7)),Base_Original!I211))</f>
        <v>56000</v>
      </c>
      <c r="O212" s="44" t="str">
        <f>IF(AND($N212&gt;50000,$Q212="Sim"),"Negada","Aprovada")</f>
        <v>Aprovada</v>
      </c>
      <c r="P212" s="45">
        <f>IF(AND($T212="Negada",$O212="Negada"),0,IF($B212="Ativo",$U212*8%,"0"))</f>
        <v>6160</v>
      </c>
      <c r="Q212" s="46" t="str">
        <f>IF(OR(Base_Original!J211="Sim",Base_Original!J211="sim",Base_Original!J211="SIM"),"Sim",IF(OR(Base_Original!J211="Não",Base_Original!J211="não",Base_Original!J211="NÃO",Base_Original!J211="Nao"),"Não",IF(Base_Original!J211="","vazio",Base_Original!J211)))</f>
        <v>Não</v>
      </c>
      <c r="R212" s="46">
        <f>IF(ISNUMBER(Base_Original!K211),Base_Original!K211,IF(RIGHT(Base_Original!K211,9)=" batalhas",VALUE(LEFT(Base_Original!K211,LEN(Base_Original!K211)-9)),Base_Original!K211))</f>
        <v>6</v>
      </c>
      <c r="S212" s="42" t="str">
        <f>IF($R212="vazio","vazio",IF($R212&lt;=10,"Baixo",IF($R212&lt;=25,"Médio","Alto")))</f>
        <v>Baixo</v>
      </c>
      <c r="T212" s="42" t="str">
        <f>IF(AND($S212="Alto",$Q212="Sim"),"Negada","Aprovada")</f>
        <v>Aprovada</v>
      </c>
      <c r="U212" s="43">
        <v>77000</v>
      </c>
    </row>
    <row r="213" spans="1:21">
      <c r="A213" s="47" t="s">
        <v>1067</v>
      </c>
      <c r="B213" s="37" t="str">
        <f>IF(Base_Original!A214="","vazio",IF(Base_Original!A214="ATIVO","Ativo",IF(Base_Original!A214="INATIVO","Inativo",Base_Original!A214)))</f>
        <v>Ativo</v>
      </c>
      <c r="C213" s="37" t="str">
        <f>PROPER(Base_Original!B214)</f>
        <v>Missandei Glover</v>
      </c>
      <c r="D213" s="38">
        <v>34000</v>
      </c>
      <c r="E213" s="39" t="str">
        <f>IF($D213="","Vazio",IF(LEN(SUBSTITUTE(SUBSTITUTE($D213&amp;"",".",""),"-",""))&lt;&gt;11,"Inválido","OK"))</f>
        <v>Inválido</v>
      </c>
      <c r="F213" s="39" t="str">
        <f>IF($D213="","Vazio",IF(COUNTIF($D$2:$D$369,$D213)&gt;1,"Duplicado","Único"))</f>
        <v>Único</v>
      </c>
      <c r="G213" s="40" t="str">
        <f>IF(TRIM(Base_Original!D213)="","",SUBSTITUTE(TRIM(Base_Original!D213),"anos",""))</f>
        <v>38</v>
      </c>
      <c r="H213" s="50">
        <f>IF($J213="","Vazio",DATEDIF($J213,DATE(2026,9,10),"Y"))</f>
        <v>38</v>
      </c>
      <c r="I21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13" s="33">
        <v>32118</v>
      </c>
      <c r="K213" s="42" t="s">
        <v>180</v>
      </c>
      <c r="L213" s="42" t="str">
        <f>PROPER(Base_Original!G214)</f>
        <v>Norte</v>
      </c>
      <c r="M213" s="43">
        <v>15800</v>
      </c>
      <c r="N213" s="43">
        <f>IF(ISNUMBER(Base_Original!I214),Base_Original!I214,IF(RIGHT(Base_Original!I214,7)=" moedas",VALUE(LEFT(Base_Original!I214,LEN(Base_Original!I214)-7)),Base_Original!I214))</f>
        <v>64000</v>
      </c>
      <c r="O213" s="44" t="str">
        <f>IF(AND($N213&gt;50000,$Q213="Sim"),"Negada","Aprovada")</f>
        <v>Negada</v>
      </c>
      <c r="P213" s="45">
        <f>IF(AND($T213="Negada",$O213="Negada"),0,IF($B213="Ativo",$U213*8%,"0"))</f>
        <v>1680</v>
      </c>
      <c r="Q213" s="46" t="str">
        <f>IF(OR(Base_Original!J214="Sim",Base_Original!J214="sim",Base_Original!J214="SIM"),"Sim",IF(OR(Base_Original!J214="Não",Base_Original!J214="não",Base_Original!J214="NÃO",Base_Original!J214="Nao"),"Não",IF(Base_Original!J214="","vazio",Base_Original!J214)))</f>
        <v>Sim</v>
      </c>
      <c r="R213" s="46">
        <f>IF(ISNUMBER(Base_Original!K214),Base_Original!K214,IF(RIGHT(Base_Original!K214,9)=" batalhas",VALUE(LEFT(Base_Original!K214,LEN(Base_Original!K214)-9)),Base_Original!K214))</f>
        <v>21</v>
      </c>
      <c r="S213" s="42" t="str">
        <f>IF($R213="vazio","vazio",IF($R213&lt;=10,"Baixo",IF($R213&lt;=25,"Médio","Alto")))</f>
        <v>Médio</v>
      </c>
      <c r="T213" s="42" t="str">
        <f>IF(AND($S213="Alto",$Q213="Sim"),"Negada","Aprovada")</f>
        <v>Aprovada</v>
      </c>
      <c r="U213" s="43">
        <v>21000</v>
      </c>
    </row>
    <row r="214" spans="1:21">
      <c r="A214" s="47" t="s">
        <v>1068</v>
      </c>
      <c r="B214" s="37" t="str">
        <f>IF(Base_Original!A213="","vazio",IF(Base_Original!A213="ATIVO","Ativo",IF(Base_Original!A213="INATIVO","Inativo",Base_Original!A213)))</f>
        <v>Inativo</v>
      </c>
      <c r="C214" s="37" t="str">
        <f>PROPER(Base_Original!B213)</f>
        <v>Missandei Glover</v>
      </c>
      <c r="D214" s="38">
        <v>30500</v>
      </c>
      <c r="E214" s="39" t="str">
        <f>IF($D214="","Vazio",IF(LEN(SUBSTITUTE(SUBSTITUTE($D214&amp;"",".",""),"-",""))&lt;&gt;11,"Inválido","OK"))</f>
        <v>Inválido</v>
      </c>
      <c r="F214" s="39" t="str">
        <f>IF($D214="","Vazio",IF(COUNTIF($D$2:$D$369,$D214)&gt;1,"Duplicado","Único"))</f>
        <v>Único</v>
      </c>
      <c r="G214" s="40" t="str">
        <f>IF(TRIM(Base_Original!D214)="","",SUBSTITUTE(TRIM(Base_Original!D214),"anos",""))</f>
        <v>62</v>
      </c>
      <c r="H214" s="50">
        <f>IF($J214="","Vazio",DATEDIF($J214,DATE(2026,9,10),"Y"))</f>
        <v>62</v>
      </c>
      <c r="I21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14" s="33">
        <v>23278</v>
      </c>
      <c r="K214" s="42" t="s">
        <v>40</v>
      </c>
      <c r="L214" s="42" t="str">
        <f>PROPER(Base_Original!G213)</f>
        <v>Terras Da Tempestade</v>
      </c>
      <c r="M214" s="43">
        <v>17000</v>
      </c>
      <c r="N214" s="43">
        <f>IF(ISNUMBER(Base_Original!I213),Base_Original!I213,IF(RIGHT(Base_Original!I213,7)=" moedas",VALUE(LEFT(Base_Original!I213,LEN(Base_Original!I213)-7)),Base_Original!I213))</f>
        <v>14500</v>
      </c>
      <c r="O214" s="44" t="str">
        <f>IF(AND($N214&gt;50000,$Q214="Sim"),"Negada","Aprovada")</f>
        <v>Aprovada</v>
      </c>
      <c r="P214" s="45" t="str">
        <f>IF(AND($T214="Negada",$O214="Negada"),0,IF($B214="Ativo",$U214*8%,"0"))</f>
        <v>0</v>
      </c>
      <c r="Q214" s="46" t="str">
        <f>IF(OR(Base_Original!J213="Sim",Base_Original!J213="sim",Base_Original!J213="SIM"),"Sim",IF(OR(Base_Original!J213="Não",Base_Original!J213="não",Base_Original!J213="NÃO",Base_Original!J213="Nao"),"Não",IF(Base_Original!J213="","vazio",Base_Original!J213)))</f>
        <v>Não</v>
      </c>
      <c r="R214" s="46">
        <f>IF(ISNUMBER(Base_Original!K213),Base_Original!K213,IF(RIGHT(Base_Original!K213,9)=" batalhas",VALUE(LEFT(Base_Original!K213,LEN(Base_Original!K213)-9)),Base_Original!K213))</f>
        <v>4</v>
      </c>
      <c r="S214" s="42" t="str">
        <f>IF($R214="vazio","vazio",IF($R214&lt;=10,"Baixo",IF($R214&lt;=25,"Médio","Alto")))</f>
        <v>Baixo</v>
      </c>
      <c r="T214" s="42" t="str">
        <f>IF(AND($S214="Alto",$Q214="Sim"),"Negada","Aprovada")</f>
        <v>Aprovada</v>
      </c>
      <c r="U214" s="43">
        <v>19000</v>
      </c>
    </row>
    <row r="215" spans="1:21">
      <c r="A215" s="47" t="s">
        <v>1069</v>
      </c>
      <c r="B215" s="37" t="str">
        <f>IF(Base_Original!A215="","vazio",IF(Base_Original!A215="ATIVO","Ativo",IF(Base_Original!A215="INATIVO","Inativo",Base_Original!A215)))</f>
        <v>Ativo</v>
      </c>
      <c r="C215" s="37" t="str">
        <f>PROPER(Base_Original!B215)</f>
        <v>Missandei Karstark</v>
      </c>
      <c r="D215" s="38" t="s">
        <v>493</v>
      </c>
      <c r="E215" s="39" t="str">
        <f>IF($D215="","Vazio",IF(LEN(SUBSTITUTE(SUBSTITUTE($D215&amp;"",".",""),"-",""))&lt;&gt;11,"Inválido","OK"))</f>
        <v>OK</v>
      </c>
      <c r="F215" s="39" t="str">
        <f>IF($D215="","Vazio",IF(COUNTIF($D$2:$D$369,$D215)&gt;1,"Duplicado","Único"))</f>
        <v>Único</v>
      </c>
      <c r="G215" s="40" t="str">
        <f>IF(TRIM(Base_Original!D215)="","",SUBSTITUTE(TRIM(Base_Original!D215),"anos",""))</f>
        <v>42</v>
      </c>
      <c r="H215" s="50">
        <f>IF($J215="","Vazio",DATEDIF($J215,DATE(2026,9,10),"Y"))</f>
        <v>42</v>
      </c>
      <c r="I21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15" s="33">
        <v>30666</v>
      </c>
      <c r="K215" s="42" t="s">
        <v>69</v>
      </c>
      <c r="L215" s="42" t="str">
        <f>PROPER(Base_Original!G215)</f>
        <v>Terras Da Coroa</v>
      </c>
      <c r="M215" s="43">
        <v>6000</v>
      </c>
      <c r="N215" s="43">
        <f>IF(ISNUMBER(Base_Original!I215),Base_Original!I215,IF(RIGHT(Base_Original!I215,7)=" moedas",VALUE(LEFT(Base_Original!I215,LEN(Base_Original!I215)-7)),Base_Original!I215))</f>
        <v>55000</v>
      </c>
      <c r="O215" s="44" t="str">
        <f>IF(AND($N215&gt;50000,$Q215="Sim"),"Negada","Aprovada")</f>
        <v>Aprovada</v>
      </c>
      <c r="P215" s="45">
        <f>IF(AND($T215="Negada",$O215="Negada"),0,IF($B215="Ativo",$U215*8%,"0"))</f>
        <v>800</v>
      </c>
      <c r="Q215" s="46" t="str">
        <f>IF(OR(Base_Original!J215="Sim",Base_Original!J215="sim",Base_Original!J215="SIM"),"Sim",IF(OR(Base_Original!J215="Não",Base_Original!J215="não",Base_Original!J215="NÃO",Base_Original!J215="Nao"),"Não",IF(Base_Original!J215="","vazio",Base_Original!J215)))</f>
        <v>Não</v>
      </c>
      <c r="R215" s="46">
        <f>IF(ISNUMBER(Base_Original!K215),Base_Original!K215,IF(RIGHT(Base_Original!K215,9)=" batalhas",VALUE(LEFT(Base_Original!K215,LEN(Base_Original!K215)-9)),Base_Original!K215))</f>
        <v>5</v>
      </c>
      <c r="S215" s="42" t="str">
        <f>IF($R215="vazio","vazio",IF($R215&lt;=10,"Baixo",IF($R215&lt;=25,"Médio","Alto")))</f>
        <v>Baixo</v>
      </c>
      <c r="T215" s="42" t="str">
        <f>IF(AND($S215="Alto",$Q215="Sim"),"Negada","Aprovada")</f>
        <v>Aprovada</v>
      </c>
      <c r="U215" s="43">
        <v>10000</v>
      </c>
    </row>
    <row r="216" spans="1:21">
      <c r="A216" s="47" t="s">
        <v>1070</v>
      </c>
      <c r="B216" s="37" t="str">
        <f>IF(Base_Original!A216="","vazio",IF(Base_Original!A216="ATIVO","Ativo",IF(Base_Original!A216="INATIVO","Inativo",Base_Original!A216)))</f>
        <v>Ativo</v>
      </c>
      <c r="C216" s="37" t="str">
        <f>PROPER(Base_Original!B216)</f>
        <v>Missandei Redwyne</v>
      </c>
      <c r="D216" s="38" t="s">
        <v>495</v>
      </c>
      <c r="E216" s="39" t="str">
        <f>IF($D216="","Vazio",IF(LEN(SUBSTITUTE(SUBSTITUTE($D216&amp;"",".",""),"-",""))&lt;&gt;11,"Inválido","OK"))</f>
        <v>OK</v>
      </c>
      <c r="F216" s="39" t="str">
        <f>IF($D216="","Vazio",IF(COUNTIF($D$2:$D$369,$D216)&gt;1,"Duplicado","Único"))</f>
        <v>Único</v>
      </c>
      <c r="G216" s="40" t="str">
        <f>IF(TRIM(Base_Original!D216)="","",SUBSTITUTE(TRIM(Base_Original!D216),"anos",""))</f>
        <v>47</v>
      </c>
      <c r="H216" s="50">
        <f>IF($J216="","Vazio",DATEDIF($J216,DATE(2026,9,10),"Y"))</f>
        <v>47</v>
      </c>
      <c r="I21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16" s="33">
        <v>29007</v>
      </c>
      <c r="K216" s="42" t="s">
        <v>30</v>
      </c>
      <c r="L216" s="42" t="str">
        <f>PROPER(Base_Original!G216)</f>
        <v>Essos</v>
      </c>
      <c r="M216" s="43">
        <v>5000</v>
      </c>
      <c r="N216" s="43">
        <f>IF(ISNUMBER(Base_Original!I216),Base_Original!I216,IF(RIGHT(Base_Original!I216,7)=" moedas",VALUE(LEFT(Base_Original!I216,LEN(Base_Original!I216)-7)),Base_Original!I216))</f>
        <v>75500</v>
      </c>
      <c r="O216" s="44" t="str">
        <f>IF(AND($N216&gt;50000,$Q216="Sim"),"Negada","Aprovada")</f>
        <v>Negada</v>
      </c>
      <c r="P216" s="45">
        <f>IF(AND($T216="Negada",$O216="Negada"),0,IF($B216="Ativo",$U216*8%,"0"))</f>
        <v>7160</v>
      </c>
      <c r="Q216" s="46" t="str">
        <f>IF(OR(Base_Original!J216="Sim",Base_Original!J216="sim",Base_Original!J216="SIM"),"Sim",IF(OR(Base_Original!J216="Não",Base_Original!J216="não",Base_Original!J216="NÃO",Base_Original!J216="Nao"),"Não",IF(Base_Original!J216="","vazio",Base_Original!J216)))</f>
        <v>Sim</v>
      </c>
      <c r="R216" s="46">
        <f>IF(ISNUMBER(Base_Original!K216),Base_Original!K216,IF(RIGHT(Base_Original!K216,9)=" batalhas",VALUE(LEFT(Base_Original!K216,LEN(Base_Original!K216)-9)),Base_Original!K216))</f>
        <v>2</v>
      </c>
      <c r="S216" s="42" t="str">
        <f>IF($R216="vazio","vazio",IF($R216&lt;=10,"Baixo",IF($R216&lt;=25,"Médio","Alto")))</f>
        <v>Baixo</v>
      </c>
      <c r="T216" s="42" t="str">
        <f>IF(AND($S216="Alto",$Q216="Sim"),"Negada","Aprovada")</f>
        <v>Aprovada</v>
      </c>
      <c r="U216" s="43">
        <v>89500</v>
      </c>
    </row>
    <row r="217" spans="1:21">
      <c r="A217" s="47" t="s">
        <v>1071</v>
      </c>
      <c r="B217" s="37" t="str">
        <f>IF(Base_Original!A217="","vazio",IF(Base_Original!A217="ATIVO","Ativo",IF(Base_Original!A217="INATIVO","Inativo",Base_Original!A217)))</f>
        <v>Inativo</v>
      </c>
      <c r="C217" s="37" t="str">
        <f>PROPER(Base_Original!B217)</f>
        <v>Missandei Tarly</v>
      </c>
      <c r="D217" s="38">
        <v>200</v>
      </c>
      <c r="E217" s="39" t="str">
        <f>IF($D217="","Vazio",IF(LEN(SUBSTITUTE(SUBSTITUTE($D217&amp;"",".",""),"-",""))&lt;&gt;11,"Inválido","OK"))</f>
        <v>Inválido</v>
      </c>
      <c r="F217" s="39" t="str">
        <f>IF($D217="","Vazio",IF(COUNTIF($D$2:$D$369,$D217)&gt;1,"Duplicado","Único"))</f>
        <v>Único</v>
      </c>
      <c r="G217" s="40" t="str">
        <f>IF(TRIM(Base_Original!D217)="","",SUBSTITUTE(TRIM(Base_Original!D217),"anos",""))</f>
        <v>55</v>
      </c>
      <c r="H217" s="50">
        <f>IF($J217="","Vazio",DATEDIF($J217,DATE(2026,9,10),"Y"))</f>
        <v>55</v>
      </c>
      <c r="I21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17" s="33">
        <v>25892</v>
      </c>
      <c r="K217" s="42" t="s">
        <v>180</v>
      </c>
      <c r="L217" s="42" t="str">
        <f>PROPER(Base_Original!G217)</f>
        <v>Terras Da Tempestade</v>
      </c>
      <c r="M217" s="43">
        <v>5300</v>
      </c>
      <c r="N217" s="43">
        <f>IF(ISNUMBER(Base_Original!I217),Base_Original!I217,IF(RIGHT(Base_Original!I217,7)=" moedas",VALUE(LEFT(Base_Original!I217,LEN(Base_Original!I217)-7)),Base_Original!I217))</f>
        <v>6500</v>
      </c>
      <c r="O217" s="44" t="str">
        <f>IF(AND($N217&gt;50000,$Q217="Sim"),"Negada","Aprovada")</f>
        <v>Aprovada</v>
      </c>
      <c r="P217" s="45" t="str">
        <f>IF(AND($T217="Negada",$O217="Negada"),0,IF($B217="Ativo",$U217*8%,"0"))</f>
        <v>0</v>
      </c>
      <c r="Q217" s="46" t="str">
        <f>IF(OR(Base_Original!J217="Sim",Base_Original!J217="sim",Base_Original!J217="SIM"),"Sim",IF(OR(Base_Original!J217="Não",Base_Original!J217="não",Base_Original!J217="NÃO",Base_Original!J217="Nao"),"Não",IF(Base_Original!J217="","vazio",Base_Original!J217)))</f>
        <v>Não</v>
      </c>
      <c r="R217" s="46">
        <f>IF(ISNUMBER(Base_Original!K217),Base_Original!K217,IF(RIGHT(Base_Original!K217,9)=" batalhas",VALUE(LEFT(Base_Original!K217,LEN(Base_Original!K217)-9)),Base_Original!K217))</f>
        <v>42</v>
      </c>
      <c r="S217" s="42" t="str">
        <f>IF($R217="vazio","vazio",IF($R217&lt;=10,"Baixo",IF($R217&lt;=25,"Médio","Alto")))</f>
        <v>Alto</v>
      </c>
      <c r="T217" s="42" t="str">
        <f>IF(AND($S217="Alto",$Q217="Sim"),"Negada","Aprovada")</f>
        <v>Aprovada</v>
      </c>
      <c r="U217" s="43">
        <v>96000</v>
      </c>
    </row>
    <row r="218" spans="1:21">
      <c r="A218" s="47" t="s">
        <v>1072</v>
      </c>
      <c r="B218" s="37" t="str">
        <f>IF(Base_Original!A218="","vazio",IF(Base_Original!A218="ATIVO","Ativo",IF(Base_Original!A218="INATIVO","Inativo",Base_Original!A218)))</f>
        <v>Ativo</v>
      </c>
      <c r="C218" s="37" t="str">
        <f>PROPER(Base_Original!B218)</f>
        <v>Olenna Arryn</v>
      </c>
      <c r="D218" s="38">
        <v>9600</v>
      </c>
      <c r="E218" s="39" t="str">
        <f>IF($D218="","Vazio",IF(LEN(SUBSTITUTE(SUBSTITUTE($D218&amp;"",".",""),"-",""))&lt;&gt;11,"Inválido","OK"))</f>
        <v>Inválido</v>
      </c>
      <c r="F218" s="39" t="str">
        <f>IF($D218="","Vazio",IF(COUNTIF($D$2:$D$369,$D218)&gt;1,"Duplicado","Único"))</f>
        <v>Único</v>
      </c>
      <c r="G218" s="40" t="str">
        <f>IF(TRIM(Base_Original!D218)="","",SUBSTITUTE(TRIM(Base_Original!D218),"anos",""))</f>
        <v>49</v>
      </c>
      <c r="H218" s="50">
        <f>IF($J218="","Vazio",DATEDIF($J218,DATE(2026,9,10),"Y"))</f>
        <v>49</v>
      </c>
      <c r="I21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18" s="33">
        <v>28330</v>
      </c>
      <c r="K218" s="42" t="s">
        <v>62</v>
      </c>
      <c r="L218" s="42" t="str">
        <f>PROPER(Base_Original!G218)</f>
        <v>Essos</v>
      </c>
      <c r="M218" s="43">
        <v>11500</v>
      </c>
      <c r="N218" s="43">
        <f>IF(ISNUMBER(Base_Original!I218),Base_Original!I218,IF(RIGHT(Base_Original!I218,7)=" moedas",VALUE(LEFT(Base_Original!I218,LEN(Base_Original!I218)-7)),Base_Original!I218))</f>
        <v>44500</v>
      </c>
      <c r="O218" s="44" t="str">
        <f>IF(AND($N218&gt;50000,$Q218="Sim"),"Negada","Aprovada")</f>
        <v>Aprovada</v>
      </c>
      <c r="P218" s="45">
        <f>IF(AND($T218="Negada",$O218="Negada"),0,IF($B218="Ativo",$U218*8%,"0"))</f>
        <v>240</v>
      </c>
      <c r="Q218" s="46" t="str">
        <f>IF(OR(Base_Original!J218="Sim",Base_Original!J218="sim",Base_Original!J218="SIM"),"Sim",IF(OR(Base_Original!J218="Não",Base_Original!J218="não",Base_Original!J218="NÃO",Base_Original!J218="Nao"),"Não",IF(Base_Original!J218="","vazio",Base_Original!J218)))</f>
        <v>Não</v>
      </c>
      <c r="R218" s="46">
        <f>IF(ISNUMBER(Base_Original!K218),Base_Original!K218,IF(RIGHT(Base_Original!K218,9)=" batalhas",VALUE(LEFT(Base_Original!K218,LEN(Base_Original!K218)-9)),Base_Original!K218))</f>
        <v>45</v>
      </c>
      <c r="S218" s="42" t="str">
        <f>IF($R218="vazio","vazio",IF($R218&lt;=10,"Baixo",IF($R218&lt;=25,"Médio","Alto")))</f>
        <v>Alto</v>
      </c>
      <c r="T218" s="42" t="str">
        <f>IF(AND($S218="Alto",$Q218="Sim"),"Negada","Aprovada")</f>
        <v>Aprovada</v>
      </c>
      <c r="U218" s="43">
        <v>3000</v>
      </c>
    </row>
    <row r="219" spans="1:21">
      <c r="A219" s="47" t="s">
        <v>1073</v>
      </c>
      <c r="B219" s="37" t="str">
        <f>IF(Base_Original!A219="","vazio",IF(Base_Original!A219="ATIVO","Ativo",IF(Base_Original!A219="INATIVO","Inativo",Base_Original!A219)))</f>
        <v>Ativo</v>
      </c>
      <c r="C219" s="37" t="str">
        <f>PROPER(Base_Original!B219)</f>
        <v>Olenna Baelish</v>
      </c>
      <c r="D219" s="38" t="s">
        <v>499</v>
      </c>
      <c r="E219" s="39" t="str">
        <f>IF($D219="","Vazio",IF(LEN(SUBSTITUTE(SUBSTITUTE($D219&amp;"",".",""),"-",""))&lt;&gt;11,"Inválido","OK"))</f>
        <v>OK</v>
      </c>
      <c r="F219" s="39" t="str">
        <f>IF($D219="","Vazio",IF(COUNTIF($D$2:$D$369,$D219)&gt;1,"Duplicado","Único"))</f>
        <v>Único</v>
      </c>
      <c r="G219" s="40" t="str">
        <f>IF(TRIM(Base_Original!D219)="","",SUBSTITUTE(TRIM(Base_Original!D219),"anos",""))</f>
        <v>48</v>
      </c>
      <c r="H219" s="50">
        <f>IF($J219="","Vazio",DATEDIF($J219,DATE(2026,9,10),"Y"))</f>
        <v>48</v>
      </c>
      <c r="I21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19" s="33">
        <v>28647</v>
      </c>
      <c r="K219" s="42" t="s">
        <v>91</v>
      </c>
      <c r="L219" s="42" t="str">
        <f>PROPER(Base_Original!G219)</f>
        <v/>
      </c>
      <c r="M219" s="43">
        <v>13200</v>
      </c>
      <c r="N219" s="43">
        <f>IF(ISNUMBER(Base_Original!I219),Base_Original!I219,IF(RIGHT(Base_Original!I219,7)=" moedas",VALUE(LEFT(Base_Original!I219,LEN(Base_Original!I219)-7)),Base_Original!I219))</f>
        <v>3500</v>
      </c>
      <c r="O219" s="44" t="str">
        <f>IF(AND($N219&gt;50000,$Q219="Sim"),"Negada","Aprovada")</f>
        <v>Aprovada</v>
      </c>
      <c r="P219" s="45">
        <f>IF(AND($T219="Negada",$O219="Negada"),0,IF($B219="Ativo",$U219*8%,"0"))</f>
        <v>2600</v>
      </c>
      <c r="Q219" s="46" t="str">
        <f>IF(OR(Base_Original!J219="Sim",Base_Original!J219="sim",Base_Original!J219="SIM"),"Sim",IF(OR(Base_Original!J219="Não",Base_Original!J219="não",Base_Original!J219="NÃO",Base_Original!J219="Nao"),"Não",IF(Base_Original!J219="","vazio",Base_Original!J219)))</f>
        <v>Não</v>
      </c>
      <c r="R219" s="46">
        <f>IF(ISNUMBER(Base_Original!K219),Base_Original!K219,IF(RIGHT(Base_Original!K219,9)=" batalhas",VALUE(LEFT(Base_Original!K219,LEN(Base_Original!K219)-9)),Base_Original!K219))</f>
        <v>1</v>
      </c>
      <c r="S219" s="42" t="str">
        <f>IF($R219="vazio","vazio",IF($R219&lt;=10,"Baixo",IF($R219&lt;=25,"Médio","Alto")))</f>
        <v>Baixo</v>
      </c>
      <c r="T219" s="42" t="str">
        <f>IF(AND($S219="Alto",$Q219="Sim"),"Negada","Aprovada")</f>
        <v>Aprovada</v>
      </c>
      <c r="U219" s="43">
        <v>32500</v>
      </c>
    </row>
    <row r="220" spans="1:21">
      <c r="A220" s="47" t="s">
        <v>1074</v>
      </c>
      <c r="B220" s="37" t="str">
        <f>IF(Base_Original!A220="","vazio",IF(Base_Original!A220="ATIVO","Ativo",IF(Base_Original!A220="INATIVO","Inativo",Base_Original!A220)))</f>
        <v>Ativo</v>
      </c>
      <c r="C220" s="37" t="str">
        <f>PROPER(Base_Original!B220)</f>
        <v>Olenna Bracken</v>
      </c>
      <c r="D220" s="38" t="s">
        <v>502</v>
      </c>
      <c r="E220" s="39" t="str">
        <f>IF($D220="","Vazio",IF(LEN(SUBSTITUTE(SUBSTITUTE($D220&amp;"",".",""),"-",""))&lt;&gt;11,"Inválido","OK"))</f>
        <v>OK</v>
      </c>
      <c r="F220" s="39" t="str">
        <f>IF($D220="","Vazio",IF(COUNTIF($D$2:$D$369,$D220)&gt;1,"Duplicado","Único"))</f>
        <v>Único</v>
      </c>
      <c r="G220" s="40" t="str">
        <f>IF(TRIM(Base_Original!D220)="","",SUBSTITUTE(TRIM(Base_Original!D220),"anos",""))</f>
        <v>45</v>
      </c>
      <c r="H220" s="50">
        <f>IF($J220="","Vazio",DATEDIF($J220,DATE(2026,9,10),"Y"))</f>
        <v>45</v>
      </c>
      <c r="I22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20" s="33">
        <v>29598</v>
      </c>
      <c r="K220" s="42" t="s">
        <v>91</v>
      </c>
      <c r="L220" s="42" t="str">
        <f>PROPER(Base_Original!G220)</f>
        <v>Oeste</v>
      </c>
      <c r="M220" s="43">
        <v>22800</v>
      </c>
      <c r="N220" s="43" t="s">
        <v>880</v>
      </c>
      <c r="O220" s="44" t="str">
        <f>IF(AND($N220&gt;50000,$Q220="Sim"),"Negada","Aprovada")</f>
        <v>Aprovada</v>
      </c>
      <c r="P220" s="45">
        <f>IF(AND($T220="Negada",$O220="Negada"),0,IF($B220="Ativo",$U220*8%,"0"))</f>
        <v>2480</v>
      </c>
      <c r="Q220" s="46" t="str">
        <f>IF(OR(Base_Original!J220="Sim",Base_Original!J220="sim",Base_Original!J220="SIM"),"Sim",IF(OR(Base_Original!J220="Não",Base_Original!J220="não",Base_Original!J220="NÃO",Base_Original!J220="Nao"),"Não",IF(Base_Original!J220="","vazio",Base_Original!J220)))</f>
        <v>Não</v>
      </c>
      <c r="R220" s="46">
        <f>IF(ISNUMBER(Base_Original!K220),Base_Original!K220,IF(RIGHT(Base_Original!K220,9)=" batalhas",VALUE(LEFT(Base_Original!K220,LEN(Base_Original!K220)-9)),Base_Original!K220))</f>
        <v>10</v>
      </c>
      <c r="S220" s="42" t="str">
        <f>IF($R220="vazio","vazio",IF($R220&lt;=10,"Baixo",IF($R220&lt;=25,"Médio","Alto")))</f>
        <v>Baixo</v>
      </c>
      <c r="T220" s="42" t="str">
        <f>IF(AND($S220="Alto",$Q220="Sim"),"Negada","Aprovada")</f>
        <v>Aprovada</v>
      </c>
      <c r="U220" s="43">
        <v>31000</v>
      </c>
    </row>
    <row r="221" spans="1:21">
      <c r="A221" s="47" t="s">
        <v>1075</v>
      </c>
      <c r="B221" s="37" t="str">
        <f>IF(Base_Original!A221="","vazio",IF(Base_Original!A221="ATIVO","Ativo",IF(Base_Original!A221="INATIVO","Inativo",Base_Original!A221)))</f>
        <v>Ativo</v>
      </c>
      <c r="C221" s="37" t="str">
        <f>PROPER(Base_Original!B221)</f>
        <v>Olenna Hornwood</v>
      </c>
      <c r="D221" s="38">
        <v>29900</v>
      </c>
      <c r="E221" s="39" t="str">
        <f>IF($D221="","Vazio",IF(LEN(SUBSTITUTE(SUBSTITUTE($D221&amp;"",".",""),"-",""))&lt;&gt;11,"Inválido","OK"))</f>
        <v>Inválido</v>
      </c>
      <c r="F221" s="39" t="str">
        <f>IF($D221="","Vazio",IF(COUNTIF($D$2:$D$369,$D221)&gt;1,"Duplicado","Único"))</f>
        <v>Único</v>
      </c>
      <c r="G221" s="40" t="str">
        <f>IF(TRIM(Base_Original!D221)="","",SUBSTITUTE(TRIM(Base_Original!D221),"anos",""))</f>
        <v xml:space="preserve">46 </v>
      </c>
      <c r="H221" s="50" t="s">
        <v>909</v>
      </c>
      <c r="I221" s="51" t="s">
        <v>909</v>
      </c>
      <c r="J221" s="33"/>
      <c r="K221" s="42" t="s">
        <v>40</v>
      </c>
      <c r="L221" s="42" t="str">
        <f>PROPER(Base_Original!G221)</f>
        <v>Norte</v>
      </c>
      <c r="M221" s="43">
        <v>21300</v>
      </c>
      <c r="N221" s="43">
        <f>IF(ISNUMBER(Base_Original!I221),Base_Original!I221,IF(RIGHT(Base_Original!I221,7)=" moedas",VALUE(LEFT(Base_Original!I221,LEN(Base_Original!I221)-7)),Base_Original!I221))</f>
        <v>60500</v>
      </c>
      <c r="O221" s="44" t="str">
        <f>IF(AND($N221&gt;50000,$Q221="Sim"),"Negada","Aprovada")</f>
        <v>Aprovada</v>
      </c>
      <c r="P221" s="45">
        <f>IF(AND($T221="Negada",$O221="Negada"),0,IF($B221="Ativo",$U221*8%,"0"))</f>
        <v>5960</v>
      </c>
      <c r="Q221" s="46" t="str">
        <f>IF(OR(Base_Original!J221="Sim",Base_Original!J221="sim",Base_Original!J221="SIM"),"Sim",IF(OR(Base_Original!J221="Não",Base_Original!J221="não",Base_Original!J221="NÃO",Base_Original!J221="Nao"),"Não",IF(Base_Original!J221="","vazio",Base_Original!J221)))</f>
        <v>vazio</v>
      </c>
      <c r="R221" s="46">
        <f>IF(ISNUMBER(Base_Original!K221),Base_Original!K221,IF(RIGHT(Base_Original!K221,9)=" batalhas",VALUE(LEFT(Base_Original!K221,LEN(Base_Original!K221)-9)),Base_Original!K221))</f>
        <v>15</v>
      </c>
      <c r="S221" s="42" t="str">
        <f>IF($R221="vazio","vazio",IF($R221&lt;=10,"Baixo",IF($R221&lt;=25,"Médio","Alto")))</f>
        <v>Médio</v>
      </c>
      <c r="T221" s="42" t="str">
        <f>IF(AND($S221="Alto",$Q221="Sim"),"Negada","Aprovada")</f>
        <v>Aprovada</v>
      </c>
      <c r="U221" s="43">
        <v>74500</v>
      </c>
    </row>
    <row r="222" spans="1:21">
      <c r="A222" s="47" t="s">
        <v>1076</v>
      </c>
      <c r="B222" s="37" t="str">
        <f>IF(Base_Original!A222="","vazio",IF(Base_Original!A222="ATIVO","Ativo",IF(Base_Original!A222="INATIVO","Inativo",Base_Original!A222)))</f>
        <v>Ativo</v>
      </c>
      <c r="C222" s="37" t="str">
        <f>PROPER(Base_Original!B222)</f>
        <v>Olenna Reed</v>
      </c>
      <c r="D222" s="38" t="s">
        <v>505</v>
      </c>
      <c r="E222" s="39" t="str">
        <f>IF($D222="","Vazio",IF(LEN(SUBSTITUTE(SUBSTITUTE($D222&amp;"",".",""),"-",""))&lt;&gt;11,"Inválido","OK"))</f>
        <v>OK</v>
      </c>
      <c r="F222" s="39" t="str">
        <f>IF($D222="","Vazio",IF(COUNTIF($D$2:$D$369,$D222)&gt;1,"Duplicado","Único"))</f>
        <v>Único</v>
      </c>
      <c r="G222" s="40" t="str">
        <f>IF(TRIM(Base_Original!D222)="","",SUBSTITUTE(TRIM(Base_Original!D222),"anos",""))</f>
        <v>40</v>
      </c>
      <c r="H222" s="50">
        <f>IF($J222="","Vazio",DATEDIF($J222,DATE(2026,9,10),"Y"))</f>
        <v>40</v>
      </c>
      <c r="I22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22" s="33">
        <v>31408</v>
      </c>
      <c r="K222" s="42" t="s">
        <v>506</v>
      </c>
      <c r="L222" s="42" t="str">
        <f>PROPER(Base_Original!G222)</f>
        <v/>
      </c>
      <c r="M222" s="43">
        <v>17400</v>
      </c>
      <c r="N222" s="43">
        <f>IF(ISNUMBER(Base_Original!I222),Base_Original!I222,IF(RIGHT(Base_Original!I222,7)=" moedas",VALUE(LEFT(Base_Original!I222,LEN(Base_Original!I222)-7)),Base_Original!I222))</f>
        <v>53000</v>
      </c>
      <c r="O222" s="44" t="str">
        <f>IF(AND($N222&gt;50000,$Q222="Sim"),"Negada","Aprovada")</f>
        <v>Negada</v>
      </c>
      <c r="P222" s="45">
        <f>IF(AND($T222="Negada",$O222="Negada"),0,IF($B222="Ativo",$U222*8%,"0"))</f>
        <v>4200</v>
      </c>
      <c r="Q222" s="46" t="str">
        <f>IF(OR(Base_Original!J222="Sim",Base_Original!J222="sim",Base_Original!J222="SIM"),"Sim",IF(OR(Base_Original!J222="Não",Base_Original!J222="não",Base_Original!J222="NÃO",Base_Original!J222="Nao"),"Não",IF(Base_Original!J222="","vazio",Base_Original!J222)))</f>
        <v>Sim</v>
      </c>
      <c r="R222" s="46">
        <f>IF(ISNUMBER(Base_Original!K222),Base_Original!K222,IF(RIGHT(Base_Original!K222,9)=" batalhas",VALUE(LEFT(Base_Original!K222,LEN(Base_Original!K222)-9)),Base_Original!K222))</f>
        <v>20</v>
      </c>
      <c r="S222" s="42" t="str">
        <f>IF($R222="vazio","vazio",IF($R222&lt;=10,"Baixo",IF($R222&lt;=25,"Médio","Alto")))</f>
        <v>Médio</v>
      </c>
      <c r="T222" s="42" t="str">
        <f>IF(AND($S222="Alto",$Q222="Sim"),"Negada","Aprovada")</f>
        <v>Aprovada</v>
      </c>
      <c r="U222" s="43">
        <v>52500</v>
      </c>
    </row>
    <row r="223" spans="1:21">
      <c r="A223" s="47" t="s">
        <v>1077</v>
      </c>
      <c r="B223" s="37" t="str">
        <f>IF(Base_Original!A223="","vazio",IF(Base_Original!A223="ATIVO","Ativo",IF(Base_Original!A223="INATIVO","Inativo",Base_Original!A223)))</f>
        <v>Ativo</v>
      </c>
      <c r="C223" s="37" t="str">
        <f>PROPER(Base_Original!B223)</f>
        <v>Petyr Greyjoy</v>
      </c>
      <c r="D223" s="38" t="s">
        <v>508</v>
      </c>
      <c r="E223" s="39" t="str">
        <f>IF($D223="","Vazio",IF(LEN(SUBSTITUTE(SUBSTITUTE($D223&amp;"",".",""),"-",""))&lt;&gt;11,"Inválido","OK"))</f>
        <v>OK</v>
      </c>
      <c r="F223" s="39" t="str">
        <f>IF($D223="","Vazio",IF(COUNTIF($D$2:$D$369,$D223)&gt;1,"Duplicado","Único"))</f>
        <v>Único</v>
      </c>
      <c r="G223" s="40" t="str">
        <f>IF(TRIM(Base_Original!D223)="","",SUBSTITUTE(TRIM(Base_Original!D223),"anos",""))</f>
        <v>42</v>
      </c>
      <c r="H223" s="50">
        <f>IF($J223="","Vazio",DATEDIF($J223,DATE(2026,9,10),"Y"))</f>
        <v>42</v>
      </c>
      <c r="I22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23" s="33">
        <v>30898</v>
      </c>
      <c r="K223" s="42" t="s">
        <v>91</v>
      </c>
      <c r="L223" s="42" t="str">
        <f>PROPER(Base_Original!G223)</f>
        <v/>
      </c>
      <c r="M223" s="43">
        <v>20800</v>
      </c>
      <c r="N223" s="43">
        <f>IF(ISNUMBER(Base_Original!I223),Base_Original!I223,IF(RIGHT(Base_Original!I223,7)=" moedas",VALUE(LEFT(Base_Original!I223,LEN(Base_Original!I223)-7)),Base_Original!I223))</f>
        <v>54000</v>
      </c>
      <c r="O223" s="44" t="str">
        <f>IF(AND($N223&gt;50000,$Q223="Sim"),"Negada","Aprovada")</f>
        <v>Aprovada</v>
      </c>
      <c r="P223" s="45">
        <f>IF(AND($T223="Negada",$O223="Negada"),0,IF($B223="Ativo",$U223*8%,"0"))</f>
        <v>5880</v>
      </c>
      <c r="Q223" s="46" t="str">
        <f>IF(OR(Base_Original!J223="Sim",Base_Original!J223="sim",Base_Original!J223="SIM"),"Sim",IF(OR(Base_Original!J223="Não",Base_Original!J223="não",Base_Original!J223="NÃO",Base_Original!J223="Nao"),"Não",IF(Base_Original!J223="","vazio",Base_Original!J223)))</f>
        <v>Não</v>
      </c>
      <c r="R223" s="46">
        <f>IF(ISNUMBER(Base_Original!K223),Base_Original!K223,IF(RIGHT(Base_Original!K223,9)=" batalhas",VALUE(LEFT(Base_Original!K223,LEN(Base_Original!K223)-9)),Base_Original!K223))</f>
        <v>4</v>
      </c>
      <c r="S223" s="42" t="str">
        <f>IF($R223="vazio","vazio",IF($R223&lt;=10,"Baixo",IF($R223&lt;=25,"Médio","Alto")))</f>
        <v>Baixo</v>
      </c>
      <c r="T223" s="42" t="str">
        <f>IF(AND($S223="Alto",$Q223="Sim"),"Negada","Aprovada")</f>
        <v>Aprovada</v>
      </c>
      <c r="U223" s="43">
        <v>73500</v>
      </c>
    </row>
    <row r="224" spans="1:21">
      <c r="A224" s="47" t="s">
        <v>1078</v>
      </c>
      <c r="B224" s="37" t="str">
        <f>IF(Base_Original!A224="","vazio",IF(Base_Original!A224="ATIVO","Ativo",IF(Base_Original!A224="INATIVO","Inativo",Base_Original!A224)))</f>
        <v>Inativo</v>
      </c>
      <c r="C224" s="37" t="str">
        <f>PROPER(Base_Original!B224)</f>
        <v>Petyr Karstark</v>
      </c>
      <c r="D224" s="38">
        <v>23700</v>
      </c>
      <c r="E224" s="39" t="str">
        <f>IF($D224="","Vazio",IF(LEN(SUBSTITUTE(SUBSTITUTE($D224&amp;"",".",""),"-",""))&lt;&gt;11,"Inválido","OK"))</f>
        <v>Inválido</v>
      </c>
      <c r="F224" s="39" t="str">
        <f>IF($D224="","Vazio",IF(COUNTIF($D$2:$D$369,$D224)&gt;1,"Duplicado","Único"))</f>
        <v>Único</v>
      </c>
      <c r="G224" s="40" t="str">
        <f>IF(TRIM(Base_Original!D224)="","",SUBSTITUTE(TRIM(Base_Original!D224),"anos",""))</f>
        <v/>
      </c>
      <c r="H224" s="50">
        <f>IF($J224="","Vazio",DATEDIF($J224,DATE(2026,9,10),"Y"))</f>
        <v>74</v>
      </c>
      <c r="I22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224" s="33">
        <v>19234</v>
      </c>
      <c r="K224" s="42" t="s">
        <v>20</v>
      </c>
      <c r="L224" s="42" t="str">
        <f>PROPER(Base_Original!G224)</f>
        <v>Campina</v>
      </c>
      <c r="M224" s="43">
        <v>8900</v>
      </c>
      <c r="N224" s="43">
        <f>IF(ISNUMBER(Base_Original!I224),Base_Original!I224,IF(RIGHT(Base_Original!I224,7)=" moedas",VALUE(LEFT(Base_Original!I224,LEN(Base_Original!I224)-7)),Base_Original!I224))</f>
        <v>4000</v>
      </c>
      <c r="O224" s="44" t="str">
        <f>IF(AND($N224&gt;50000,$Q224="Sim"),"Negada","Aprovada")</f>
        <v>Aprovada</v>
      </c>
      <c r="P224" s="45" t="str">
        <f>IF(AND($T224="Negada",$O224="Negada"),0,IF($B224="Ativo",$U224*8%,"0"))</f>
        <v>0</v>
      </c>
      <c r="Q224" s="46" t="str">
        <f>IF(OR(Base_Original!J224="Sim",Base_Original!J224="sim",Base_Original!J224="SIM"),"Sim",IF(OR(Base_Original!J224="Não",Base_Original!J224="não",Base_Original!J224="NÃO",Base_Original!J224="Nao"),"Não",IF(Base_Original!J224="","vazio",Base_Original!J224)))</f>
        <v>Não</v>
      </c>
      <c r="R224" s="46">
        <f>IF(ISNUMBER(Base_Original!K224),Base_Original!K224,IF(RIGHT(Base_Original!K224,9)=" batalhas",VALUE(LEFT(Base_Original!K224,LEN(Base_Original!K224)-9)),Base_Original!K224))</f>
        <v>38</v>
      </c>
      <c r="S224" s="42" t="str">
        <f>IF($R224="vazio","vazio",IF($R224&lt;=10,"Baixo",IF($R224&lt;=25,"Médio","Alto")))</f>
        <v>Alto</v>
      </c>
      <c r="T224" s="42" t="str">
        <f>IF(AND($S224="Alto",$Q224="Sim"),"Negada","Aprovada")</f>
        <v>Aprovada</v>
      </c>
      <c r="U224" s="43">
        <v>22500</v>
      </c>
    </row>
    <row r="225" spans="1:21">
      <c r="A225" s="47" t="s">
        <v>1079</v>
      </c>
      <c r="B225" s="37" t="str">
        <f>IF(Base_Original!A225="","vazio",IF(Base_Original!A225="ATIVO","Ativo",IF(Base_Original!A225="INATIVO","Inativo",Base_Original!A225)))</f>
        <v>Inativo</v>
      </c>
      <c r="C225" s="37" t="str">
        <f>PROPER(Base_Original!B225)</f>
        <v>Petyr Mallister</v>
      </c>
      <c r="D225" s="38">
        <v>11600</v>
      </c>
      <c r="E225" s="39" t="str">
        <f>IF($D225="","Vazio",IF(LEN(SUBSTITUTE(SUBSTITUTE($D225&amp;"",".",""),"-",""))&lt;&gt;11,"Inválido","OK"))</f>
        <v>Inválido</v>
      </c>
      <c r="F225" s="39" t="str">
        <f>IF($D225="","Vazio",IF(COUNTIF($D$2:$D$369,$D225)&gt;1,"Duplicado","Único"))</f>
        <v>Único</v>
      </c>
      <c r="G225" s="40" t="str">
        <f>IF(TRIM(Base_Original!D225)="","",SUBSTITUTE(TRIM(Base_Original!D225),"anos",""))</f>
        <v/>
      </c>
      <c r="H225" s="50">
        <f>IF($J225="","Vazio",DATEDIF($J225,DATE(2026,9,10),"Y"))</f>
        <v>36</v>
      </c>
      <c r="I22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225" s="33">
        <v>32890</v>
      </c>
      <c r="K225" s="42" t="s">
        <v>25</v>
      </c>
      <c r="L225" s="42" t="str">
        <f>PROPER(Base_Original!G225)</f>
        <v>Terras Fluviais</v>
      </c>
      <c r="M225" s="43">
        <v>28100</v>
      </c>
      <c r="N225" s="43">
        <f>IF(ISNUMBER(Base_Original!I225),Base_Original!I225,IF(RIGHT(Base_Original!I225,7)=" moedas",VALUE(LEFT(Base_Original!I225,LEN(Base_Original!I225)-7)),Base_Original!I225))</f>
        <v>36500</v>
      </c>
      <c r="O225" s="44" t="str">
        <f>IF(AND($N225&gt;50000,$Q225="Sim"),"Negada","Aprovada")</f>
        <v>Aprovada</v>
      </c>
      <c r="P225" s="45" t="str">
        <f>IF(AND($T225="Negada",$O225="Negada"),0,IF($B225="Ativo",$U225*8%,"0"))</f>
        <v>0</v>
      </c>
      <c r="Q225" s="46" t="str">
        <f>IF(OR(Base_Original!J225="Sim",Base_Original!J225="sim",Base_Original!J225="SIM"),"Sim",IF(OR(Base_Original!J225="Não",Base_Original!J225="não",Base_Original!J225="NÃO",Base_Original!J225="Nao"),"Não",IF(Base_Original!J225="","vazio",Base_Original!J225)))</f>
        <v>Não</v>
      </c>
      <c r="R225" s="46">
        <f>IF(ISNUMBER(Base_Original!K225),Base_Original!K225,IF(RIGHT(Base_Original!K225,9)=" batalhas",VALUE(LEFT(Base_Original!K225,LEN(Base_Original!K225)-9)),Base_Original!K225))</f>
        <v>13</v>
      </c>
      <c r="S225" s="42" t="str">
        <f>IF($R225="vazio","vazio",IF($R225&lt;=10,"Baixo",IF($R225&lt;=25,"Médio","Alto")))</f>
        <v>Médio</v>
      </c>
      <c r="T225" s="42" t="str">
        <f>IF(AND($S225="Alto",$Q225="Sim"),"Negada","Aprovada")</f>
        <v>Aprovada</v>
      </c>
      <c r="U225" s="43">
        <v>5000</v>
      </c>
    </row>
    <row r="226" spans="1:21">
      <c r="A226" s="47" t="s">
        <v>1080</v>
      </c>
      <c r="B226" s="37" t="str">
        <f>IF(Base_Original!A226="","vazio",IF(Base_Original!A226="ATIVO","Ativo",IF(Base_Original!A226="INATIVO","Inativo",Base_Original!A226)))</f>
        <v>Ativo</v>
      </c>
      <c r="C226" s="37" t="str">
        <f>PROPER(Base_Original!B226)</f>
        <v>Petyr Snow</v>
      </c>
      <c r="D226" s="38">
        <v>21900</v>
      </c>
      <c r="E226" s="39" t="str">
        <f>IF($D226="","Vazio",IF(LEN(SUBSTITUTE(SUBSTITUTE($D226&amp;"",".",""),"-",""))&lt;&gt;11,"Inválido","OK"))</f>
        <v>Inválido</v>
      </c>
      <c r="F226" s="39" t="str">
        <f>IF($D226="","Vazio",IF(COUNTIF($D$2:$D$369,$D226)&gt;1,"Duplicado","Único"))</f>
        <v>Único</v>
      </c>
      <c r="G226" s="40" t="str">
        <f>IF(TRIM(Base_Original!D226)="","",SUBSTITUTE(TRIM(Base_Original!D226),"anos",""))</f>
        <v>67</v>
      </c>
      <c r="H226" s="50">
        <f>IF($J226="","Vazio",DATEDIF($J226,DATE(2026,9,10),"Y"))</f>
        <v>67</v>
      </c>
      <c r="I22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26" s="33">
        <v>21619</v>
      </c>
      <c r="K226" s="42" t="s">
        <v>180</v>
      </c>
      <c r="L226" s="42" t="str">
        <f>PROPER(Base_Original!G226)</f>
        <v>Terras Da Tempestade</v>
      </c>
      <c r="M226" s="43">
        <v>20200</v>
      </c>
      <c r="N226" s="43">
        <f>IF(ISNUMBER(Base_Original!I226),Base_Original!I226,IF(RIGHT(Base_Original!I226,7)=" moedas",VALUE(LEFT(Base_Original!I226,LEN(Base_Original!I226)-7)),Base_Original!I226))</f>
        <v>6500</v>
      </c>
      <c r="O226" s="44" t="str">
        <f>IF(AND($N226&gt;50000,$Q226="Sim"),"Negada","Aprovada")</f>
        <v>Aprovada</v>
      </c>
      <c r="P226" s="45">
        <f>IF(AND($T226="Negada",$O226="Negada"),0,IF($B226="Ativo",$U226*8%,"0"))</f>
        <v>7880</v>
      </c>
      <c r="Q226" s="46" t="str">
        <f>IF(OR(Base_Original!J226="Sim",Base_Original!J226="sim",Base_Original!J226="SIM"),"Sim",IF(OR(Base_Original!J226="Não",Base_Original!J226="não",Base_Original!J226="NÃO",Base_Original!J226="Nao"),"Não",IF(Base_Original!J226="","vazio",Base_Original!J226)))</f>
        <v>Não</v>
      </c>
      <c r="R226" s="46">
        <f>IF(ISNUMBER(Base_Original!K226),Base_Original!K226,IF(RIGHT(Base_Original!K226,9)=" batalhas",VALUE(LEFT(Base_Original!K226,LEN(Base_Original!K226)-9)),Base_Original!K226))</f>
        <v>1</v>
      </c>
      <c r="S226" s="42" t="str">
        <f>IF($R226="vazio","vazio",IF($R226&lt;=10,"Baixo",IF($R226&lt;=25,"Médio","Alto")))</f>
        <v>Baixo</v>
      </c>
      <c r="T226" s="42" t="str">
        <f>IF(AND($S226="Alto",$Q226="Sim"),"Negada","Aprovada")</f>
        <v>Aprovada</v>
      </c>
      <c r="U226" s="43">
        <v>98500</v>
      </c>
    </row>
    <row r="227" spans="1:21">
      <c r="A227" s="47" t="s">
        <v>1081</v>
      </c>
      <c r="B227" s="37" t="str">
        <f>IF(Base_Original!A227="","vazio",IF(Base_Original!A227="ATIVO","Ativo",IF(Base_Original!A227="INATIVO","Inativo",Base_Original!A227)))</f>
        <v>Ativo</v>
      </c>
      <c r="C227" s="37" t="str">
        <f>PROPER(Base_Original!B227)</f>
        <v>Petyr Swyft</v>
      </c>
      <c r="D227" s="38" t="s">
        <v>513</v>
      </c>
      <c r="E227" s="39" t="str">
        <f>IF($D227="","Vazio",IF(LEN(SUBSTITUTE(SUBSTITUTE($D227&amp;"",".",""),"-",""))&lt;&gt;11,"Inválido","OK"))</f>
        <v>OK</v>
      </c>
      <c r="F227" s="39" t="str">
        <f>IF($D227="","Vazio",IF(COUNTIF($D$2:$D$369,$D227)&gt;1,"Duplicado","Único"))</f>
        <v>Único</v>
      </c>
      <c r="G227" s="40" t="str">
        <f>IF(TRIM(Base_Original!D227)="","",SUBSTITUTE(TRIM(Base_Original!D227),"anos",""))</f>
        <v>36</v>
      </c>
      <c r="H227" s="50">
        <f>IF($J227="","Vazio",DATEDIF($J227,DATE(2026,9,10),"Y"))</f>
        <v>36</v>
      </c>
      <c r="I22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27" s="33">
        <v>33117</v>
      </c>
      <c r="K227" s="42" t="s">
        <v>150</v>
      </c>
      <c r="L227" s="42" t="str">
        <f>PROPER(Base_Original!G227)</f>
        <v>Gargalo</v>
      </c>
      <c r="M227" s="43">
        <v>11600</v>
      </c>
      <c r="N227" s="43">
        <f>IF(ISNUMBER(Base_Original!I227),Base_Original!I227,IF(RIGHT(Base_Original!I227,7)=" moedas",VALUE(LEFT(Base_Original!I227,LEN(Base_Original!I227)-7)),Base_Original!I227))</f>
        <v>78500</v>
      </c>
      <c r="O227" s="44" t="str">
        <f>IF(AND($N227&gt;50000,$Q227="Sim"),"Negada","Aprovada")</f>
        <v>Aprovada</v>
      </c>
      <c r="P227" s="45">
        <f>IF(AND($T227="Negada",$O227="Negada"),0,IF($B227="Ativo",$U227*8%,"0"))</f>
        <v>3360</v>
      </c>
      <c r="Q227" s="46" t="str">
        <f>IF(OR(Base_Original!J227="Sim",Base_Original!J227="sim",Base_Original!J227="SIM"),"Sim",IF(OR(Base_Original!J227="Não",Base_Original!J227="não",Base_Original!J227="NÃO",Base_Original!J227="Nao"),"Não",IF(Base_Original!J227="","vazio",Base_Original!J227)))</f>
        <v>Não</v>
      </c>
      <c r="R227" s="46">
        <f>IF(ISNUMBER(Base_Original!K227),Base_Original!K227,IF(RIGHT(Base_Original!K227,9)=" batalhas",VALUE(LEFT(Base_Original!K227,LEN(Base_Original!K227)-9)),Base_Original!K227))</f>
        <v>1</v>
      </c>
      <c r="S227" s="42" t="str">
        <f>IF($R227="vazio","vazio",IF($R227&lt;=10,"Baixo",IF($R227&lt;=25,"Médio","Alto")))</f>
        <v>Baixo</v>
      </c>
      <c r="T227" s="42" t="str">
        <f>IF(AND($S227="Alto",$Q227="Sim"),"Negada","Aprovada")</f>
        <v>Aprovada</v>
      </c>
      <c r="U227" s="43">
        <v>42000</v>
      </c>
    </row>
    <row r="228" spans="1:21">
      <c r="A228" s="47" t="s">
        <v>1082</v>
      </c>
      <c r="B228" s="37" t="str">
        <f>IF(Base_Original!A228="","vazio",IF(Base_Original!A228="ATIVO","Ativo",IF(Base_Original!A228="INATIVO","Inativo",Base_Original!A228)))</f>
        <v>Ativo</v>
      </c>
      <c r="C228" s="37" t="str">
        <f>PROPER(Base_Original!B228)</f>
        <v>Petyr Yronwood</v>
      </c>
      <c r="D228" s="38" t="s">
        <v>515</v>
      </c>
      <c r="E228" s="39" t="str">
        <f>IF($D228="","Vazio",IF(LEN(SUBSTITUTE(SUBSTITUTE($D228&amp;"",".",""),"-",""))&lt;&gt;11,"Inválido","OK"))</f>
        <v>OK</v>
      </c>
      <c r="F228" s="39" t="str">
        <f>IF($D228="","Vazio",IF(COUNTIF($D$2:$D$369,$D228)&gt;1,"Duplicado","Único"))</f>
        <v>Único</v>
      </c>
      <c r="G228" s="40" t="str">
        <f>IF(TRIM(Base_Original!D228)="","",SUBSTITUTE(TRIM(Base_Original!D228),"anos",""))</f>
        <v>61</v>
      </c>
      <c r="H228" s="50">
        <f>IF($J228="","Vazio",DATEDIF($J228,DATE(2026,9,10),"Y"))</f>
        <v>61</v>
      </c>
      <c r="I22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28" s="33">
        <v>23964</v>
      </c>
      <c r="K228" s="42" t="s">
        <v>75</v>
      </c>
      <c r="L228" s="42" t="str">
        <f>PROPER(Base_Original!G228)</f>
        <v>Norte</v>
      </c>
      <c r="M228" s="43">
        <v>7000</v>
      </c>
      <c r="N228" s="43">
        <f>IF(ISNUMBER(Base_Original!I228),Base_Original!I228,IF(RIGHT(Base_Original!I228,7)=" moedas",VALUE(LEFT(Base_Original!I228,LEN(Base_Original!I228)-7)),Base_Original!I228))</f>
        <v>1500</v>
      </c>
      <c r="O228" s="44" t="str">
        <f>IF(AND($N228&gt;50000,$Q228="Sim"),"Negada","Aprovada")</f>
        <v>Aprovada</v>
      </c>
      <c r="P228" s="45">
        <f>IF(AND($T228="Negada",$O228="Negada"),0,IF($B228="Ativo",$U228*8%,"0"))</f>
        <v>4240</v>
      </c>
      <c r="Q228" s="46" t="str">
        <f>IF(OR(Base_Original!J228="Sim",Base_Original!J228="sim",Base_Original!J228="SIM"),"Sim",IF(OR(Base_Original!J228="Não",Base_Original!J228="não",Base_Original!J228="NÃO",Base_Original!J228="Nao"),"Não",IF(Base_Original!J228="","vazio",Base_Original!J228)))</f>
        <v>Sim</v>
      </c>
      <c r="R228" s="46">
        <f>IF(ISNUMBER(Base_Original!K228),Base_Original!K228,IF(RIGHT(Base_Original!K228,9)=" batalhas",VALUE(LEFT(Base_Original!K228,LEN(Base_Original!K228)-9)),Base_Original!K228))</f>
        <v>32</v>
      </c>
      <c r="S228" s="42" t="str">
        <f>IF($R228="vazio","vazio",IF($R228&lt;=10,"Baixo",IF($R228&lt;=25,"Médio","Alto")))</f>
        <v>Alto</v>
      </c>
      <c r="T228" s="42" t="str">
        <f>IF(AND($S228="Alto",$Q228="Sim"),"Negada","Aprovada")</f>
        <v>Negada</v>
      </c>
      <c r="U228" s="43">
        <v>53000</v>
      </c>
    </row>
    <row r="229" spans="1:21">
      <c r="A229" s="47" t="s">
        <v>1083</v>
      </c>
      <c r="B229" s="37" t="str">
        <f>IF(Base_Original!A229="","vazio",IF(Base_Original!A229="ATIVO","Ativo",IF(Base_Original!A229="INATIVO","Inativo",Base_Original!A229)))</f>
        <v>Inativo</v>
      </c>
      <c r="C229" s="37" t="str">
        <f>PROPER(Base_Original!B229)</f>
        <v>Podrick Blackwood</v>
      </c>
      <c r="D229" s="38" t="s">
        <v>517</v>
      </c>
      <c r="E229" s="39" t="str">
        <f>IF($D229="","Vazio",IF(LEN(SUBSTITUTE(SUBSTITUTE($D229&amp;"",".",""),"-",""))&lt;&gt;11,"Inválido","OK"))</f>
        <v>OK</v>
      </c>
      <c r="F229" s="39" t="str">
        <f>IF($D229="","Vazio",IF(COUNTIF($D$2:$D$369,$D229)&gt;1,"Duplicado","Único"))</f>
        <v>Único</v>
      </c>
      <c r="G229" s="40" t="str">
        <f>IF(TRIM(Base_Original!D229)="","",SUBSTITUTE(TRIM(Base_Original!D229),"anos",""))</f>
        <v>31</v>
      </c>
      <c r="H229" s="50">
        <f>IF($J229="","Vazio",DATEDIF($J229,DATE(2026,9,10),"Y"))</f>
        <v>31</v>
      </c>
      <c r="I22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29" s="33">
        <v>34828</v>
      </c>
      <c r="K229" s="42" t="s">
        <v>34</v>
      </c>
      <c r="L229" s="42" t="str">
        <f>PROPER(Base_Original!G230)</f>
        <v>Dorne</v>
      </c>
      <c r="M229" s="43">
        <v>24900</v>
      </c>
      <c r="N229" s="43">
        <f>IF(ISNUMBER(Base_Original!I229),Base_Original!I229,IF(RIGHT(Base_Original!I229,7)=" moedas",VALUE(LEFT(Base_Original!I229,LEN(Base_Original!I229)-7)),Base_Original!I229))</f>
        <v>72000</v>
      </c>
      <c r="O229" s="44" t="str">
        <f>IF(AND($N229&gt;50000,$Q229="Sim"),"Negada","Aprovada")</f>
        <v>Aprovada</v>
      </c>
      <c r="P229" s="45" t="str">
        <f>IF(AND($T229="Negada",$O229="Negada"),0,IF($B229="Ativo",$U229*8%,"0"))</f>
        <v>0</v>
      </c>
      <c r="Q229" s="46" t="str">
        <f>IF(OR(Base_Original!J229="Sim",Base_Original!J229="sim",Base_Original!J229="SIM"),"Sim",IF(OR(Base_Original!J229="Não",Base_Original!J229="não",Base_Original!J229="NÃO",Base_Original!J229="Nao"),"Não",IF(Base_Original!J229="","vazio",Base_Original!J229)))</f>
        <v>Não</v>
      </c>
      <c r="R229" s="46">
        <f>IF(ISNUMBER(Base_Original!K229),Base_Original!K229,IF(RIGHT(Base_Original!K229,9)=" batalhas",VALUE(LEFT(Base_Original!K229,LEN(Base_Original!K229)-9)),Base_Original!K229))</f>
        <v>35</v>
      </c>
      <c r="S229" s="42" t="str">
        <f>IF($R229="vazio","vazio",IF($R229&lt;=10,"Baixo",IF($R229&lt;=25,"Médio","Alto")))</f>
        <v>Alto</v>
      </c>
      <c r="T229" s="42" t="str">
        <f>IF(AND($S229="Alto",$Q229="Sim"),"Negada","Aprovada")</f>
        <v>Aprovada</v>
      </c>
      <c r="U229" s="43">
        <v>42000</v>
      </c>
    </row>
    <row r="230" spans="1:21">
      <c r="A230" s="47" t="s">
        <v>1084</v>
      </c>
      <c r="B230" s="37" t="str">
        <f>IF(Base_Original!A230="","vazio",IF(Base_Original!A230="ATIVO","Ativo",IF(Base_Original!A230="INATIVO","Inativo",Base_Original!A230)))</f>
        <v>Ativo</v>
      </c>
      <c r="C230" s="37" t="str">
        <f>PROPER(Base_Original!B230)</f>
        <v>Podrick Blackwood</v>
      </c>
      <c r="D230" s="38">
        <v>8300</v>
      </c>
      <c r="E230" s="39" t="str">
        <f>IF($D230="","Vazio",IF(LEN(SUBSTITUTE(SUBSTITUTE($D230&amp;"",".",""),"-",""))&lt;&gt;11,"Inválido","OK"))</f>
        <v>Inválido</v>
      </c>
      <c r="F230" s="39" t="str">
        <f>IF($D230="","Vazio",IF(COUNTIF($D$2:$D$369,$D230)&gt;1,"Duplicado","Único"))</f>
        <v>Único</v>
      </c>
      <c r="G230" s="40" t="str">
        <f>IF(TRIM(Base_Original!D230)="","",SUBSTITUTE(TRIM(Base_Original!D230),"anos",""))</f>
        <v/>
      </c>
      <c r="H230" s="50">
        <f>IF($J230="","Vazio",DATEDIF($J230,DATE(2026,9,10),"Y"))</f>
        <v>32</v>
      </c>
      <c r="I23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230" s="33">
        <v>34411</v>
      </c>
      <c r="K230" s="42" t="s">
        <v>104</v>
      </c>
      <c r="L230" s="42" t="str">
        <f>PROPER(Base_Original!G229)</f>
        <v>Terras Da Coroa</v>
      </c>
      <c r="M230" s="43" t="s">
        <v>880</v>
      </c>
      <c r="N230" s="43">
        <f>IF(ISNUMBER(Base_Original!I230),Base_Original!I230,IF(RIGHT(Base_Original!I230,7)=" moedas",VALUE(LEFT(Base_Original!I230,LEN(Base_Original!I230)-7)),Base_Original!I230))</f>
        <v>0</v>
      </c>
      <c r="O230" s="44" t="str">
        <f>IF(AND($N230&gt;50000,$Q230="Sim"),"Negada","Aprovada")</f>
        <v>Aprovada</v>
      </c>
      <c r="P230" s="45">
        <f>IF(AND($T230="Negada",$O230="Negada"),0,IF($B230="Ativo",$U230*8%,"0"))</f>
        <v>6320</v>
      </c>
      <c r="Q230" s="46" t="str">
        <f>IF(OR(Base_Original!J230="Sim",Base_Original!J230="sim",Base_Original!J230="SIM"),"Sim",IF(OR(Base_Original!J230="Não",Base_Original!J230="não",Base_Original!J230="NÃO",Base_Original!J230="Nao"),"Não",IF(Base_Original!J230="","vazio",Base_Original!J230)))</f>
        <v>Não</v>
      </c>
      <c r="R230" s="46">
        <f>IF(ISNUMBER(Base_Original!K230),Base_Original!K230,IF(RIGHT(Base_Original!K230,9)=" batalhas",VALUE(LEFT(Base_Original!K230,LEN(Base_Original!K230)-9)),Base_Original!K230))</f>
        <v>20</v>
      </c>
      <c r="S230" s="42" t="str">
        <f>IF($R230="vazio","vazio",IF($R230&lt;=10,"Baixo",IF($R230&lt;=25,"Médio","Alto")))</f>
        <v>Médio</v>
      </c>
      <c r="T230" s="42" t="str">
        <f>IF(AND($S230="Alto",$Q230="Sim"),"Negada","Aprovada")</f>
        <v>Aprovada</v>
      </c>
      <c r="U230" s="43">
        <v>79000</v>
      </c>
    </row>
    <row r="231" spans="1:21">
      <c r="A231" s="47" t="s">
        <v>1085</v>
      </c>
      <c r="B231" s="37" t="str">
        <f>IF(Base_Original!A231="","vazio",IF(Base_Original!A231="ATIVO","Ativo",IF(Base_Original!A231="INATIVO","Inativo",Base_Original!A231)))</f>
        <v>Ativo</v>
      </c>
      <c r="C231" s="37" t="str">
        <f>PROPER(Base_Original!B231)</f>
        <v>Podrick Dayne</v>
      </c>
      <c r="D231" s="38">
        <v>22300</v>
      </c>
      <c r="E231" s="39" t="str">
        <f>IF($D231="","Vazio",IF(LEN(SUBSTITUTE(SUBSTITUTE($D231&amp;"",".",""),"-",""))&lt;&gt;11,"Inválido","OK"))</f>
        <v>Inválido</v>
      </c>
      <c r="F231" s="39" t="str">
        <f>IF($D231="","Vazio",IF(COUNTIF($D$2:$D$369,$D231)&gt;1,"Duplicado","Único"))</f>
        <v>Duplicado</v>
      </c>
      <c r="G231" s="40" t="str">
        <f>IF(TRIM(Base_Original!D231)="","",SUBSTITUTE(TRIM(Base_Original!D231),"anos",""))</f>
        <v>25</v>
      </c>
      <c r="H231" s="50">
        <f>IF($J231="","Vazio",DATEDIF($J231,DATE(2026,9,10),"Y"))</f>
        <v>25</v>
      </c>
      <c r="I23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31" s="33">
        <v>36831</v>
      </c>
      <c r="K231" s="42" t="s">
        <v>101</v>
      </c>
      <c r="L231" s="42" t="str">
        <f>PROPER(Base_Original!G231)</f>
        <v>Campina</v>
      </c>
      <c r="M231" s="43">
        <v>9400</v>
      </c>
      <c r="N231" s="43">
        <f>IF(ISNUMBER(Base_Original!I231),Base_Original!I231,IF(RIGHT(Base_Original!I231,7)=" moedas",VALUE(LEFT(Base_Original!I231,LEN(Base_Original!I231)-7)),Base_Original!I231))</f>
        <v>51500</v>
      </c>
      <c r="O231" s="44" t="str">
        <f>IF(AND($N231&gt;50000,$Q231="Sim"),"Negada","Aprovada")</f>
        <v>Aprovada</v>
      </c>
      <c r="P231" s="45">
        <f>IF(AND($T231="Negada",$O231="Negada"),0,IF($B231="Ativo",$U231*8%,"0"))</f>
        <v>2360</v>
      </c>
      <c r="Q231" s="46" t="str">
        <f>IF(OR(Base_Original!J231="Sim",Base_Original!J231="sim",Base_Original!J231="SIM"),"Sim",IF(OR(Base_Original!J231="Não",Base_Original!J231="não",Base_Original!J231="NÃO",Base_Original!J231="Nao"),"Não",IF(Base_Original!J231="","vazio",Base_Original!J231)))</f>
        <v>Não</v>
      </c>
      <c r="R231" s="46">
        <f>IF(ISNUMBER(Base_Original!K231),Base_Original!K231,IF(RIGHT(Base_Original!K231,9)=" batalhas",VALUE(LEFT(Base_Original!K231,LEN(Base_Original!K231)-9)),Base_Original!K231))</f>
        <v>14</v>
      </c>
      <c r="S231" s="42" t="str">
        <f>IF($R231="vazio","vazio",IF($R231&lt;=10,"Baixo",IF($R231&lt;=25,"Médio","Alto")))</f>
        <v>Médio</v>
      </c>
      <c r="T231" s="42" t="str">
        <f>IF(AND($S231="Alto",$Q231="Sim"),"Negada","Aprovada")</f>
        <v>Aprovada</v>
      </c>
      <c r="U231" s="43">
        <v>29500</v>
      </c>
    </row>
    <row r="232" spans="1:21">
      <c r="A232" s="47" t="s">
        <v>1086</v>
      </c>
      <c r="B232" s="37" t="str">
        <f>IF(Base_Original!A232="","vazio",IF(Base_Original!A232="ATIVO","Ativo",IF(Base_Original!A232="INATIVO","Inativo",Base_Original!A232)))</f>
        <v>Ativo</v>
      </c>
      <c r="C232" s="37" t="str">
        <f>PROPER(Base_Original!B232)</f>
        <v>Podrick Dayne</v>
      </c>
      <c r="D232" s="38">
        <v>22300</v>
      </c>
      <c r="E232" s="39" t="str">
        <f>IF($D232="","Vazio",IF(LEN(SUBSTITUTE(SUBSTITUTE($D232&amp;"",".",""),"-",""))&lt;&gt;11,"Inválido","OK"))</f>
        <v>Inválido</v>
      </c>
      <c r="F232" s="39" t="str">
        <f>IF($D232="","Vazio",IF(COUNTIF($D$2:$D$369,$D232)&gt;1,"Duplicado","Único"))</f>
        <v>Duplicado</v>
      </c>
      <c r="G232" s="40" t="str">
        <f>IF(TRIM(Base_Original!D232)="","",SUBSTITUTE(TRIM(Base_Original!D232),"anos",""))</f>
        <v>25</v>
      </c>
      <c r="H232" s="50">
        <f>IF($J232="","Vazio",DATEDIF($J232,DATE(2026,9,10),"Y"))</f>
        <v>25</v>
      </c>
      <c r="I23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32" s="33">
        <v>36831</v>
      </c>
      <c r="K232" s="42" t="s">
        <v>101</v>
      </c>
      <c r="L232" s="42" t="str">
        <f>PROPER(Base_Original!G232)</f>
        <v>Campina</v>
      </c>
      <c r="M232" s="43">
        <v>9400</v>
      </c>
      <c r="N232" s="43">
        <f>IF(ISNUMBER(Base_Original!I232),Base_Original!I232,IF(RIGHT(Base_Original!I232,7)=" moedas",VALUE(LEFT(Base_Original!I232,LEN(Base_Original!I232)-7)),Base_Original!I232))</f>
        <v>51500</v>
      </c>
      <c r="O232" s="44" t="str">
        <f>IF(AND($N232&gt;50000,$Q232="Sim"),"Negada","Aprovada")</f>
        <v>Aprovada</v>
      </c>
      <c r="P232" s="45">
        <f>IF(AND($T232="Negada",$O232="Negada"),0,IF($B232="Ativo",$U232*8%,"0"))</f>
        <v>5920</v>
      </c>
      <c r="Q232" s="46" t="str">
        <f>IF(OR(Base_Original!J232="Sim",Base_Original!J232="sim",Base_Original!J232="SIM"),"Sim",IF(OR(Base_Original!J232="Não",Base_Original!J232="não",Base_Original!J232="NÃO",Base_Original!J232="Nao"),"Não",IF(Base_Original!J232="","vazio",Base_Original!J232)))</f>
        <v>Não</v>
      </c>
      <c r="R232" s="46">
        <f>IF(ISNUMBER(Base_Original!K232),Base_Original!K232,IF(RIGHT(Base_Original!K232,9)=" batalhas",VALUE(LEFT(Base_Original!K232,LEN(Base_Original!K232)-9)),Base_Original!K232))</f>
        <v>14</v>
      </c>
      <c r="S232" s="42" t="str">
        <f>IF($R232="vazio","vazio",IF($R232&lt;=10,"Baixo",IF($R232&lt;=25,"Médio","Alto")))</f>
        <v>Médio</v>
      </c>
      <c r="T232" s="42" t="str">
        <f>IF(AND($S232="Alto",$Q232="Sim"),"Negada","Aprovada")</f>
        <v>Aprovada</v>
      </c>
      <c r="U232" s="43">
        <v>74000</v>
      </c>
    </row>
    <row r="233" spans="1:21">
      <c r="A233" s="47" t="s">
        <v>1087</v>
      </c>
      <c r="B233" s="37" t="str">
        <f>IF(Base_Original!A233="","vazio",IF(Base_Original!A233="ATIVO","Ativo",IF(Base_Original!A233="INATIVO","Inativo",Base_Original!A233)))</f>
        <v>Ativo</v>
      </c>
      <c r="C233" s="37" t="str">
        <f>PROPER(Base_Original!B233)</f>
        <v>Podrick Florent</v>
      </c>
      <c r="D233" s="38" t="s">
        <v>520</v>
      </c>
      <c r="E233" s="39" t="str">
        <f>IF($D233="","Vazio",IF(LEN(SUBSTITUTE(SUBSTITUTE($D233&amp;"",".",""),"-",""))&lt;&gt;11,"Inválido","OK"))</f>
        <v>OK</v>
      </c>
      <c r="F233" s="39" t="str">
        <f>IF($D233="","Vazio",IF(COUNTIF($D$2:$D$369,$D233)&gt;1,"Duplicado","Único"))</f>
        <v>Único</v>
      </c>
      <c r="G233" s="40" t="str">
        <f>IF(TRIM(Base_Original!D233)="","",SUBSTITUTE(TRIM(Base_Original!D233),"anos",""))</f>
        <v>60</v>
      </c>
      <c r="H233" s="50">
        <f>IF($J233="","Vazio",DATEDIF($J233,DATE(2026,9,10),"Y"))</f>
        <v>60</v>
      </c>
      <c r="I23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33" s="33">
        <v>24021</v>
      </c>
      <c r="K233" s="42" t="s">
        <v>242</v>
      </c>
      <c r="L233" s="42" t="str">
        <f>PROPER(Base_Original!G233)</f>
        <v>Norte</v>
      </c>
      <c r="M233" s="43">
        <v>22900</v>
      </c>
      <c r="N233" s="43">
        <f>IF(ISNUMBER(Base_Original!I233),Base_Original!I233,IF(RIGHT(Base_Original!I233,7)=" moedas",VALUE(LEFT(Base_Original!I233,LEN(Base_Original!I233)-7)),Base_Original!I233))</f>
        <v>4500</v>
      </c>
      <c r="O233" s="44" t="str">
        <f>IF(AND($N233&gt;50000,$Q233="Sim"),"Negada","Aprovada")</f>
        <v>Aprovada</v>
      </c>
      <c r="P233" s="45">
        <f>IF(AND($T233="Negada",$O233="Negada"),0,IF($B233="Ativo",$U233*8%,"0"))</f>
        <v>3480</v>
      </c>
      <c r="Q233" s="46" t="str">
        <f>IF(OR(Base_Original!J233="Sim",Base_Original!J233="sim",Base_Original!J233="SIM"),"Sim",IF(OR(Base_Original!J233="Não",Base_Original!J233="não",Base_Original!J233="NÃO",Base_Original!J233="Nao"),"Não",IF(Base_Original!J233="","vazio",Base_Original!J233)))</f>
        <v>Sim</v>
      </c>
      <c r="R233" s="46">
        <f>IF(ISNUMBER(Base_Original!K233),Base_Original!K233,IF(RIGHT(Base_Original!K233,9)=" batalhas",VALUE(LEFT(Base_Original!K233,LEN(Base_Original!K233)-9)),Base_Original!K233))</f>
        <v>29</v>
      </c>
      <c r="S233" s="42" t="str">
        <f>IF($R233="vazio","vazio",IF($R233&lt;=10,"Baixo",IF($R233&lt;=25,"Médio","Alto")))</f>
        <v>Alto</v>
      </c>
      <c r="T233" s="42" t="str">
        <f>IF(AND($S233="Alto",$Q233="Sim"),"Negada","Aprovada")</f>
        <v>Negada</v>
      </c>
      <c r="U233" s="43">
        <v>43500</v>
      </c>
    </row>
    <row r="234" spans="1:21">
      <c r="A234" s="47" t="s">
        <v>1088</v>
      </c>
      <c r="B234" s="37" t="str">
        <f>IF(Base_Original!A234="","vazio",IF(Base_Original!A234="ATIVO","Ativo",IF(Base_Original!A234="INATIVO","Inativo",Base_Original!A234)))</f>
        <v>Ativo</v>
      </c>
      <c r="C234" s="37" t="str">
        <f>PROPER(Base_Original!B234)</f>
        <v>Podrick Swyft</v>
      </c>
      <c r="D234" s="38" t="s">
        <v>522</v>
      </c>
      <c r="E234" s="39" t="str">
        <f>IF($D234="","Vazio",IF(LEN(SUBSTITUTE(SUBSTITUTE($D234&amp;"",".",""),"-",""))&lt;&gt;11,"Inválido","OK"))</f>
        <v>OK</v>
      </c>
      <c r="F234" s="39" t="str">
        <f>IF($D234="","Vazio",IF(COUNTIF($D$2:$D$369,$D234)&gt;1,"Duplicado","Único"))</f>
        <v>Único</v>
      </c>
      <c r="G234" s="40" t="str">
        <f>IF(TRIM(Base_Original!D234)="","",SUBSTITUTE(TRIM(Base_Original!D234),"anos",""))</f>
        <v>32</v>
      </c>
      <c r="H234" s="50">
        <f>IF($J234="","Vazio",DATEDIF($J234,DATE(2026,9,10),"Y"))</f>
        <v>32</v>
      </c>
      <c r="I23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34" s="33">
        <v>34457</v>
      </c>
      <c r="K234" s="42" t="s">
        <v>25</v>
      </c>
      <c r="L234" s="42" t="str">
        <f>PROPER(Base_Original!G234)</f>
        <v>Terras Fluviais</v>
      </c>
      <c r="M234" s="43">
        <v>21300</v>
      </c>
      <c r="N234" s="43">
        <f>IF(ISNUMBER(Base_Original!I234),Base_Original!I234,IF(RIGHT(Base_Original!I234,7)=" moedas",VALUE(LEFT(Base_Original!I234,LEN(Base_Original!I234)-7)),Base_Original!I234))</f>
        <v>48000</v>
      </c>
      <c r="O234" s="44" t="str">
        <f>IF(AND($N234&gt;50000,$Q234="Sim"),"Negada","Aprovada")</f>
        <v>Aprovada</v>
      </c>
      <c r="P234" s="45">
        <f>IF(AND($T234="Negada",$O234="Negada"),0,IF($B234="Ativo",$U234*8%,"0"))</f>
        <v>2800</v>
      </c>
      <c r="Q234" s="46" t="str">
        <f>IF(OR(Base_Original!J234="Sim",Base_Original!J234="sim",Base_Original!J234="SIM"),"Sim",IF(OR(Base_Original!J234="Não",Base_Original!J234="não",Base_Original!J234="NÃO",Base_Original!J234="Nao"),"Não",IF(Base_Original!J234="","vazio",Base_Original!J234)))</f>
        <v>Não</v>
      </c>
      <c r="R234" s="46">
        <f>IF(ISNUMBER(Base_Original!K234),Base_Original!K234,IF(RIGHT(Base_Original!K234,9)=" batalhas",VALUE(LEFT(Base_Original!K234,LEN(Base_Original!K234)-9)),Base_Original!K234))</f>
        <v>11</v>
      </c>
      <c r="S234" s="42" t="str">
        <f>IF($R234="vazio","vazio",IF($R234&lt;=10,"Baixo",IF($R234&lt;=25,"Médio","Alto")))</f>
        <v>Médio</v>
      </c>
      <c r="T234" s="42" t="str">
        <f>IF(AND($S234="Alto",$Q234="Sim"),"Negada","Aprovada")</f>
        <v>Aprovada</v>
      </c>
      <c r="U234" s="43">
        <v>35000</v>
      </c>
    </row>
    <row r="235" spans="1:21">
      <c r="A235" s="47" t="s">
        <v>1089</v>
      </c>
      <c r="B235" s="37" t="str">
        <f>IF(Base_Original!A235="","vazio",IF(Base_Original!A235="ATIVO","Ativo",IF(Base_Original!A235="INATIVO","Inativo",Base_Original!A235)))</f>
        <v>Ativo</v>
      </c>
      <c r="C235" s="37" t="str">
        <f>PROPER(Base_Original!B235)</f>
        <v>Podrick Targaryen</v>
      </c>
      <c r="D235" s="38" t="s">
        <v>524</v>
      </c>
      <c r="E235" s="39" t="str">
        <f>IF($D235="","Vazio",IF(LEN(SUBSTITUTE(SUBSTITUTE($D235&amp;"",".",""),"-",""))&lt;&gt;11,"Inválido","OK"))</f>
        <v>OK</v>
      </c>
      <c r="F235" s="39" t="str">
        <f>IF($D235="","Vazio",IF(COUNTIF($D$2:$D$369,$D235)&gt;1,"Duplicado","Único"))</f>
        <v>Único</v>
      </c>
      <c r="G235" s="40" t="str">
        <f>IF(TRIM(Base_Original!D235)="","",SUBSTITUTE(TRIM(Base_Original!D235),"anos",""))</f>
        <v>39</v>
      </c>
      <c r="H235" s="50">
        <f>IF($J235="","Vazio",DATEDIF($J235,DATE(2026,9,10),"Y"))</f>
        <v>39</v>
      </c>
      <c r="I23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35" s="33">
        <v>31879</v>
      </c>
      <c r="K235" s="42" t="s">
        <v>101</v>
      </c>
      <c r="L235" s="42" t="str">
        <f>PROPER(Base_Original!G235)</f>
        <v>Campina</v>
      </c>
      <c r="M235" s="43">
        <v>29900</v>
      </c>
      <c r="N235" s="43">
        <f>IF(ISNUMBER(Base_Original!I235),Base_Original!I235,IF(RIGHT(Base_Original!I235,7)=" moedas",VALUE(LEFT(Base_Original!I235,LEN(Base_Original!I235)-7)),Base_Original!I235))</f>
        <v>0</v>
      </c>
      <c r="O235" s="44" t="str">
        <f>IF(AND($N235&gt;50000,$Q235="Sim"),"Negada","Aprovada")</f>
        <v>Aprovada</v>
      </c>
      <c r="P235" s="45">
        <f>IF(AND($T235="Negada",$O235="Negada"),0,IF($B235="Ativo",$U235*8%,"0"))</f>
        <v>6000</v>
      </c>
      <c r="Q235" s="46" t="str">
        <f>IF(OR(Base_Original!J235="Sim",Base_Original!J235="sim",Base_Original!J235="SIM"),"Sim",IF(OR(Base_Original!J235="Não",Base_Original!J235="não",Base_Original!J235="NÃO",Base_Original!J235="Nao"),"Não",IF(Base_Original!J235="","vazio",Base_Original!J235)))</f>
        <v>Não</v>
      </c>
      <c r="R235" s="46">
        <f>IF(ISNUMBER(Base_Original!K235),Base_Original!K235,IF(RIGHT(Base_Original!K235,9)=" batalhas",VALUE(LEFT(Base_Original!K235,LEN(Base_Original!K235)-9)),Base_Original!K235))</f>
        <v>39</v>
      </c>
      <c r="S235" s="42" t="str">
        <f>IF($R235="vazio","vazio",IF($R235&lt;=10,"Baixo",IF($R235&lt;=25,"Médio","Alto")))</f>
        <v>Alto</v>
      </c>
      <c r="T235" s="42" t="str">
        <f>IF(AND($S235="Alto",$Q235="Sim"),"Negada","Aprovada")</f>
        <v>Aprovada</v>
      </c>
      <c r="U235" s="43">
        <v>75000</v>
      </c>
    </row>
    <row r="236" spans="1:21">
      <c r="A236" s="47" t="s">
        <v>1090</v>
      </c>
      <c r="B236" s="37" t="str">
        <f>IF(Base_Original!A236="","vazio",IF(Base_Original!A236="ATIVO","Ativo",IF(Base_Original!A236="INATIVO","Inativo",Base_Original!A236)))</f>
        <v>Ativo</v>
      </c>
      <c r="C236" s="37" t="str">
        <f>PROPER(Base_Original!B236)</f>
        <v>Ramsay Dayne</v>
      </c>
      <c r="D236" s="38" t="s">
        <v>527</v>
      </c>
      <c r="E236" s="39" t="str">
        <f>IF($D236="","Vazio",IF(LEN(SUBSTITUTE(SUBSTITUTE($D236&amp;"",".",""),"-",""))&lt;&gt;11,"Inválido","OK"))</f>
        <v>OK</v>
      </c>
      <c r="F236" s="39" t="str">
        <f>IF($D236="","Vazio",IF(COUNTIF($D$2:$D$369,$D236)&gt;1,"Duplicado","Único"))</f>
        <v>Único</v>
      </c>
      <c r="G236" s="40" t="str">
        <f>IF(TRIM(Base_Original!D236)="","",SUBSTITUTE(TRIM(Base_Original!D236),"anos",""))</f>
        <v>55</v>
      </c>
      <c r="H236" s="50">
        <f>IF($J236="","Vazio",DATEDIF($J236,DATE(2026,9,10),"Y"))</f>
        <v>55</v>
      </c>
      <c r="I23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36" s="33">
        <v>26103</v>
      </c>
      <c r="K236" s="42" t="s">
        <v>180</v>
      </c>
      <c r="L236" s="42" t="str">
        <f>PROPER(Base_Original!G236)</f>
        <v>Terras Da Tempestade</v>
      </c>
      <c r="M236" s="43">
        <v>9600</v>
      </c>
      <c r="N236" s="43">
        <f>IF(ISNUMBER(Base_Original!I236),Base_Original!I236,IF(RIGHT(Base_Original!I236,7)=" moedas",VALUE(LEFT(Base_Original!I236,LEN(Base_Original!I236)-7)),Base_Original!I236))</f>
        <v>43000</v>
      </c>
      <c r="O236" s="44" t="str">
        <f>IF(AND($N236&gt;50000,$Q236="Sim"),"Negada","Aprovada")</f>
        <v>Aprovada</v>
      </c>
      <c r="P236" s="45">
        <f>IF(AND($T236="Negada",$O236="Negada"),0,IF($B236="Ativo",$U236*8%,"0"))</f>
        <v>5400</v>
      </c>
      <c r="Q236" s="46" t="str">
        <f>IF(OR(Base_Original!J236="Sim",Base_Original!J236="sim",Base_Original!J236="SIM"),"Sim",IF(OR(Base_Original!J236="Não",Base_Original!J236="não",Base_Original!J236="NÃO",Base_Original!J236="Nao"),"Não",IF(Base_Original!J236="","vazio",Base_Original!J236)))</f>
        <v>Não</v>
      </c>
      <c r="R236" s="46">
        <f>IF(ISNUMBER(Base_Original!K236),Base_Original!K236,IF(RIGHT(Base_Original!K236,9)=" batalhas",VALUE(LEFT(Base_Original!K236,LEN(Base_Original!K236)-9)),Base_Original!K236))</f>
        <v>36</v>
      </c>
      <c r="S236" s="42" t="str">
        <f>IF($R236="vazio","vazio",IF($R236&lt;=10,"Baixo",IF($R236&lt;=25,"Médio","Alto")))</f>
        <v>Alto</v>
      </c>
      <c r="T236" s="42" t="str">
        <f>IF(AND($S236="Alto",$Q236="Sim"),"Negada","Aprovada")</f>
        <v>Aprovada</v>
      </c>
      <c r="U236" s="43">
        <v>67500</v>
      </c>
    </row>
    <row r="237" spans="1:21">
      <c r="A237" s="47" t="s">
        <v>1091</v>
      </c>
      <c r="B237" s="37" t="str">
        <f>IF(Base_Original!A237="","vazio",IF(Base_Original!A237="ATIVO","Ativo",IF(Base_Original!A237="INATIVO","Inativo",Base_Original!A237)))</f>
        <v>Ativo</v>
      </c>
      <c r="C237" s="37" t="str">
        <f>PROPER(Base_Original!B237)</f>
        <v>Ramsay Dondarrion</v>
      </c>
      <c r="D237" s="38" t="s">
        <v>529</v>
      </c>
      <c r="E237" s="39" t="str">
        <f>IF($D237="","Vazio",IF(LEN(SUBSTITUTE(SUBSTITUTE($D237&amp;"",".",""),"-",""))&lt;&gt;11,"Inválido","OK"))</f>
        <v>OK</v>
      </c>
      <c r="F237" s="39" t="str">
        <f>IF($D237="","Vazio",IF(COUNTIF($D$2:$D$369,$D237)&gt;1,"Duplicado","Único"))</f>
        <v>Único</v>
      </c>
      <c r="G237" s="40" t="str">
        <f>IF(TRIM(Base_Original!D237)="","",SUBSTITUTE(TRIM(Base_Original!D237),"anos",""))</f>
        <v>55</v>
      </c>
      <c r="H237" s="50">
        <f>IF($J237="","Vazio",DATEDIF($J237,DATE(2026,9,10),"Y"))</f>
        <v>55</v>
      </c>
      <c r="I23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37" s="33">
        <v>25874</v>
      </c>
      <c r="K237" s="42" t="s">
        <v>34</v>
      </c>
      <c r="L237" s="42" t="str">
        <f>PROPER(Base_Original!G237)</f>
        <v>Dorne</v>
      </c>
      <c r="M237" s="43">
        <v>29100</v>
      </c>
      <c r="N237" s="43">
        <f>IF(ISNUMBER(Base_Original!I237),Base_Original!I237,IF(RIGHT(Base_Original!I237,7)=" moedas",VALUE(LEFT(Base_Original!I237,LEN(Base_Original!I237)-7)),Base_Original!I237))</f>
        <v>5500</v>
      </c>
      <c r="O237" s="44" t="str">
        <f>IF(AND($N237&gt;50000,$Q237="Sim"),"Negada","Aprovada")</f>
        <v>Aprovada</v>
      </c>
      <c r="P237" s="45">
        <f>IF(AND($T237="Negada",$O237="Negada"),0,IF($B237="Ativo",$U237*8%,"0"))</f>
        <v>4480</v>
      </c>
      <c r="Q237" s="46" t="str">
        <f>IF(OR(Base_Original!J237="Sim",Base_Original!J237="sim",Base_Original!J237="SIM"),"Sim",IF(OR(Base_Original!J237="Não",Base_Original!J237="não",Base_Original!J237="NÃO",Base_Original!J237="Nao"),"Não",IF(Base_Original!J237="","vazio",Base_Original!J237)))</f>
        <v>Não</v>
      </c>
      <c r="R237" s="46">
        <f>IF(ISNUMBER(Base_Original!K237),Base_Original!K237,IF(RIGHT(Base_Original!K237,9)=" batalhas",VALUE(LEFT(Base_Original!K237,LEN(Base_Original!K237)-9)),Base_Original!K237))</f>
        <v>11</v>
      </c>
      <c r="S237" s="42" t="str">
        <f>IF($R237="vazio","vazio",IF($R237&lt;=10,"Baixo",IF($R237&lt;=25,"Médio","Alto")))</f>
        <v>Médio</v>
      </c>
      <c r="T237" s="42" t="str">
        <f>IF(AND($S237="Alto",$Q237="Sim"),"Negada","Aprovada")</f>
        <v>Aprovada</v>
      </c>
      <c r="U237" s="43">
        <v>56000</v>
      </c>
    </row>
    <row r="238" spans="1:21">
      <c r="A238" s="47" t="s">
        <v>1092</v>
      </c>
      <c r="B238" s="37" t="str">
        <f>IF(Base_Original!A238="","vazio",IF(Base_Original!A238="ATIVO","Ativo",IF(Base_Original!A238="INATIVO","Inativo",Base_Original!A238)))</f>
        <v>Ativo</v>
      </c>
      <c r="C238" s="37" t="str">
        <f>PROPER(Base_Original!B238)</f>
        <v>Ramsay Hornwood</v>
      </c>
      <c r="D238" s="38" t="s">
        <v>531</v>
      </c>
      <c r="E238" s="39" t="str">
        <f>IF($D238="","Vazio",IF(LEN(SUBSTITUTE(SUBSTITUTE($D238&amp;"",".",""),"-",""))&lt;&gt;11,"Inválido","OK"))</f>
        <v>OK</v>
      </c>
      <c r="F238" s="39" t="str">
        <f>IF($D238="","Vazio",IF(COUNTIF($D$2:$D$369,$D238)&gt;1,"Duplicado","Único"))</f>
        <v>Único</v>
      </c>
      <c r="G238" s="40" t="str">
        <f>IF(TRIM(Base_Original!D238)="","",SUBSTITUTE(TRIM(Base_Original!D238),"anos",""))</f>
        <v>65</v>
      </c>
      <c r="H238" s="50">
        <f>IF($J238="","Vazio",DATEDIF($J238,DATE(2026,9,10),"Y"))</f>
        <v>65</v>
      </c>
      <c r="I23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38" s="33">
        <v>22236</v>
      </c>
      <c r="K238" s="42" t="s">
        <v>44</v>
      </c>
      <c r="L238" s="42" t="str">
        <f>PROPER(Base_Original!G238)</f>
        <v>Ilhas De Ferro</v>
      </c>
      <c r="M238" s="43">
        <v>23400</v>
      </c>
      <c r="N238" s="43">
        <f>IF(ISNUMBER(Base_Original!I238),Base_Original!I238,IF(RIGHT(Base_Original!I238,7)=" moedas",VALUE(LEFT(Base_Original!I238,LEN(Base_Original!I238)-7)),Base_Original!I238))</f>
        <v>28000</v>
      </c>
      <c r="O238" s="44" t="str">
        <f>IF(AND($N238&gt;50000,$Q238="Sim"),"Negada","Aprovada")</f>
        <v>Aprovada</v>
      </c>
      <c r="P238" s="45">
        <f>IF(AND($T238="Negada",$O238="Negada"),0,IF($B238="Ativo",$U238*8%,"0"))</f>
        <v>5920</v>
      </c>
      <c r="Q238" s="46" t="str">
        <f>IF(OR(Base_Original!J238="Sim",Base_Original!J238="sim",Base_Original!J238="SIM"),"Sim",IF(OR(Base_Original!J238="Não",Base_Original!J238="não",Base_Original!J238="NÃO",Base_Original!J238="Nao"),"Não",IF(Base_Original!J238="","vazio",Base_Original!J238)))</f>
        <v>Não</v>
      </c>
      <c r="R238" s="46">
        <f>IF(ISNUMBER(Base_Original!K238),Base_Original!K238,IF(RIGHT(Base_Original!K238,9)=" batalhas",VALUE(LEFT(Base_Original!K238,LEN(Base_Original!K238)-9)),Base_Original!K238))</f>
        <v>34</v>
      </c>
      <c r="S238" s="42" t="str">
        <f>IF($R238="vazio","vazio",IF($R238&lt;=10,"Baixo",IF($R238&lt;=25,"Médio","Alto")))</f>
        <v>Alto</v>
      </c>
      <c r="T238" s="42" t="str">
        <f>IF(AND($S238="Alto",$Q238="Sim"),"Negada","Aprovada")</f>
        <v>Aprovada</v>
      </c>
      <c r="U238" s="43">
        <v>74000</v>
      </c>
    </row>
    <row r="239" spans="1:21">
      <c r="A239" s="47" t="s">
        <v>1093</v>
      </c>
      <c r="B239" s="37" t="str">
        <f>IF(Base_Original!A239="","vazio",IF(Base_Original!A239="ATIVO","Ativo",IF(Base_Original!A239="INATIVO","Inativo",Base_Original!A239)))</f>
        <v>vazio</v>
      </c>
      <c r="C239" s="37" t="str">
        <f>PROPER(Base_Original!B239)</f>
        <v>Ramsay Stark</v>
      </c>
      <c r="D239" s="38" t="s">
        <v>534</v>
      </c>
      <c r="E239" s="39" t="str">
        <f>IF($D239="","Vazio",IF(LEN(SUBSTITUTE(SUBSTITUTE($D239&amp;"",".",""),"-",""))&lt;&gt;11,"Inválido","OK"))</f>
        <v>OK</v>
      </c>
      <c r="F239" s="39" t="str">
        <f>IF($D239="","Vazio",IF(COUNTIF($D$2:$D$369,$D239)&gt;1,"Duplicado","Único"))</f>
        <v>Único</v>
      </c>
      <c r="G239" s="40" t="str">
        <f>IF(TRIM(Base_Original!D239)="","",SUBSTITUTE(TRIM(Base_Original!D239),"anos",""))</f>
        <v>61</v>
      </c>
      <c r="H239" s="50">
        <f>IF($J239="","Vazio",DATEDIF($J239,DATE(2026,9,10),"Y"))</f>
        <v>61</v>
      </c>
      <c r="I23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39" s="33">
        <v>23813</v>
      </c>
      <c r="K239" s="42" t="s">
        <v>62</v>
      </c>
      <c r="L239" s="42" t="str">
        <f>PROPER(Base_Original!G239)</f>
        <v>Essos</v>
      </c>
      <c r="M239" s="43">
        <v>26300</v>
      </c>
      <c r="N239" s="43">
        <f>IF(ISNUMBER(Base_Original!I239),Base_Original!I239,IF(RIGHT(Base_Original!I239,7)=" moedas",VALUE(LEFT(Base_Original!I239,LEN(Base_Original!I239)-7)),Base_Original!I239))</f>
        <v>40000</v>
      </c>
      <c r="O239" s="44" t="str">
        <f>IF(AND($N239&gt;50000,$Q239="Sim"),"Negada","Aprovada")</f>
        <v>Aprovada</v>
      </c>
      <c r="P239" s="45" t="str">
        <f>IF(AND($T239="Negada",$O239="Negada"),0,IF($B239="Ativo",$U239*8%,"0"))</f>
        <v>0</v>
      </c>
      <c r="Q239" s="46" t="str">
        <f>IF(OR(Base_Original!J239="Sim",Base_Original!J239="sim",Base_Original!J239="SIM"),"Sim",IF(OR(Base_Original!J239="Não",Base_Original!J239="não",Base_Original!J239="NÃO",Base_Original!J239="Nao"),"Não",IF(Base_Original!J239="","vazio",Base_Original!J239)))</f>
        <v>Sim</v>
      </c>
      <c r="R239" s="46">
        <f>IF(ISNUMBER(Base_Original!K239),Base_Original!K239,IF(RIGHT(Base_Original!K239,9)=" batalhas",VALUE(LEFT(Base_Original!K239,LEN(Base_Original!K239)-9)),Base_Original!K239))</f>
        <v>10</v>
      </c>
      <c r="S239" s="42" t="str">
        <f>IF($R239="vazio","vazio",IF($R239&lt;=10,"Baixo",IF($R239&lt;=25,"Médio","Alto")))</f>
        <v>Baixo</v>
      </c>
      <c r="T239" s="42" t="str">
        <f>IF(AND($S239="Alto",$Q239="Sim"),"Negada","Aprovada")</f>
        <v>Aprovada</v>
      </c>
      <c r="U239" s="43">
        <v>16500</v>
      </c>
    </row>
    <row r="240" spans="1:21">
      <c r="A240" s="47" t="s">
        <v>1094</v>
      </c>
      <c r="B240" s="37" t="str">
        <f>IF(Base_Original!A240="","vazio",IF(Base_Original!A240="ATIVO","Ativo",IF(Base_Original!A240="INATIVO","Inativo",Base_Original!A240)))</f>
        <v>Ativo</v>
      </c>
      <c r="C240" s="37" t="str">
        <f>PROPER(Base_Original!B240)</f>
        <v>Ramsay Tarly</v>
      </c>
      <c r="D240" s="38">
        <v>9800</v>
      </c>
      <c r="E240" s="39" t="str">
        <f>IF($D240="","Vazio",IF(LEN(SUBSTITUTE(SUBSTITUTE($D240&amp;"",".",""),"-",""))&lt;&gt;11,"Inválido","OK"))</f>
        <v>Inválido</v>
      </c>
      <c r="F240" s="39" t="str">
        <f>IF($D240="","Vazio",IF(COUNTIF($D$2:$D$369,$D240)&gt;1,"Duplicado","Único"))</f>
        <v>Único</v>
      </c>
      <c r="G240" s="40" t="str">
        <f>IF(TRIM(Base_Original!D240)="","",SUBSTITUTE(TRIM(Base_Original!D240),"anos",""))</f>
        <v>35</v>
      </c>
      <c r="H240" s="50">
        <f>IF($J240="","Vazio",DATEDIF($J240,DATE(2026,9,10),"Y"))</f>
        <v>35</v>
      </c>
      <c r="I24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40" s="33">
        <v>33440</v>
      </c>
      <c r="K240" s="42" t="s">
        <v>44</v>
      </c>
      <c r="L240" s="42" t="str">
        <f>PROPER(Base_Original!G240)</f>
        <v>Ilhas De Ferro</v>
      </c>
      <c r="M240" s="43">
        <v>2000</v>
      </c>
      <c r="N240" s="43">
        <f>IF(ISNUMBER(Base_Original!I240),Base_Original!I240,IF(RIGHT(Base_Original!I240,7)=" moedas",VALUE(LEFT(Base_Original!I240,LEN(Base_Original!I240)-7)),Base_Original!I240))</f>
        <v>5500</v>
      </c>
      <c r="O240" s="44" t="str">
        <f>IF(AND($N240&gt;50000,$Q240="Sim"),"Negada","Aprovada")</f>
        <v>Aprovada</v>
      </c>
      <c r="P240" s="45">
        <f>IF(AND($T240="Negada",$O240="Negada"),0,IF($B240="Ativo",$U240*8%,"0"))</f>
        <v>5680</v>
      </c>
      <c r="Q240" s="46" t="str">
        <f>IF(OR(Base_Original!J240="Sim",Base_Original!J240="sim",Base_Original!J240="SIM"),"Sim",IF(OR(Base_Original!J240="Não",Base_Original!J240="não",Base_Original!J240="NÃO",Base_Original!J240="Nao"),"Não",IF(Base_Original!J240="","vazio",Base_Original!J240)))</f>
        <v>Não</v>
      </c>
      <c r="R240" s="46">
        <f>IF(ISNUMBER(Base_Original!K240),Base_Original!K240,IF(RIGHT(Base_Original!K240,9)=" batalhas",VALUE(LEFT(Base_Original!K240,LEN(Base_Original!K240)-9)),Base_Original!K240))</f>
        <v>34</v>
      </c>
      <c r="S240" s="42" t="str">
        <f>IF($R240="vazio","vazio",IF($R240&lt;=10,"Baixo",IF($R240&lt;=25,"Médio","Alto")))</f>
        <v>Alto</v>
      </c>
      <c r="T240" s="42" t="str">
        <f>IF(AND($S240="Alto",$Q240="Sim"),"Negada","Aprovada")</f>
        <v>Aprovada</v>
      </c>
      <c r="U240" s="43">
        <v>71000</v>
      </c>
    </row>
    <row r="241" spans="1:21">
      <c r="A241" s="47" t="s">
        <v>1095</v>
      </c>
      <c r="B241" s="37" t="str">
        <f>IF(Base_Original!A241="","vazio",IF(Base_Original!A241="ATIVO","Ativo",IF(Base_Original!A241="INATIVO","Inativo",Base_Original!A241)))</f>
        <v>Inativo</v>
      </c>
      <c r="C241" s="37" t="str">
        <f>PROPER(Base_Original!B241)</f>
        <v>Renly Blackwood</v>
      </c>
      <c r="D241" s="38" t="s">
        <v>537</v>
      </c>
      <c r="E241" s="39" t="str">
        <f>IF($D241="","Vazio",IF(LEN(SUBSTITUTE(SUBSTITUTE($D241&amp;"",".",""),"-",""))&lt;&gt;11,"Inválido","OK"))</f>
        <v>OK</v>
      </c>
      <c r="F241" s="39" t="str">
        <f>IF($D241="","Vazio",IF(COUNTIF($D$2:$D$369,$D241)&gt;1,"Duplicado","Único"))</f>
        <v>Único</v>
      </c>
      <c r="G241" s="40" t="str">
        <f>IF(TRIM(Base_Original!D241)="","",SUBSTITUTE(TRIM(Base_Original!D241),"anos",""))</f>
        <v>20</v>
      </c>
      <c r="H241" s="50">
        <f>IF($J241="","Vazio",DATEDIF($J241,DATE(2026,9,10),"Y"))</f>
        <v>20</v>
      </c>
      <c r="I24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41" s="33">
        <v>38704</v>
      </c>
      <c r="K241" s="42" t="s">
        <v>37</v>
      </c>
      <c r="L241" s="42" t="str">
        <f>PROPER(Base_Original!G241)</f>
        <v>Terras Da Tempestade</v>
      </c>
      <c r="M241" s="43">
        <v>12900</v>
      </c>
      <c r="N241" s="43">
        <f>IF(ISNUMBER(Base_Original!I241),Base_Original!I241,IF(RIGHT(Base_Original!I241,7)=" moedas",VALUE(LEFT(Base_Original!I241,LEN(Base_Original!I241)-7)),Base_Original!I241))</f>
        <v>26500</v>
      </c>
      <c r="O241" s="44" t="str">
        <f>IF(AND($N241&gt;50000,$Q241="Sim"),"Negada","Aprovada")</f>
        <v>Aprovada</v>
      </c>
      <c r="P241" s="45" t="str">
        <f>IF(AND($T241="Negada",$O241="Negada"),0,IF($B241="Ativo",$U241*8%,"0"))</f>
        <v>0</v>
      </c>
      <c r="Q241" s="46" t="str">
        <f>IF(OR(Base_Original!J241="Sim",Base_Original!J241="sim",Base_Original!J241="SIM"),"Sim",IF(OR(Base_Original!J241="Não",Base_Original!J241="não",Base_Original!J241="NÃO",Base_Original!J241="Nao"),"Não",IF(Base_Original!J241="","vazio",Base_Original!J241)))</f>
        <v>Não</v>
      </c>
      <c r="R241" s="46">
        <f>IF(ISNUMBER(Base_Original!K241),Base_Original!K241,IF(RIGHT(Base_Original!K241,9)=" batalhas",VALUE(LEFT(Base_Original!K241,LEN(Base_Original!K241)-9)),Base_Original!K241))</f>
        <v>13</v>
      </c>
      <c r="S241" s="42" t="str">
        <f>IF($R241="vazio","vazio",IF($R241&lt;=10,"Baixo",IF($R241&lt;=25,"Médio","Alto")))</f>
        <v>Médio</v>
      </c>
      <c r="T241" s="42" t="str">
        <f>IF(AND($S241="Alto",$Q241="Sim"),"Negada","Aprovada")</f>
        <v>Aprovada</v>
      </c>
      <c r="U241" s="43">
        <v>2000</v>
      </c>
    </row>
    <row r="242" spans="1:21">
      <c r="A242" s="47" t="s">
        <v>1096</v>
      </c>
      <c r="B242" s="37" t="str">
        <f>IF(Base_Original!A243="","vazio",IF(Base_Original!A243="ATIVO","Ativo",IF(Base_Original!A243="INATIVO","Inativo",Base_Original!A243)))</f>
        <v>Ativo</v>
      </c>
      <c r="C242" s="37" t="str">
        <f>PROPER(Base_Original!B243)</f>
        <v>Renly Bolton</v>
      </c>
      <c r="D242" s="38">
        <v>20600</v>
      </c>
      <c r="E242" s="39" t="str">
        <f>IF($D242="","Vazio",IF(LEN(SUBSTITUTE(SUBSTITUTE($D242&amp;"",".",""),"-",""))&lt;&gt;11,"Inválido","OK"))</f>
        <v>Inválido</v>
      </c>
      <c r="F242" s="39" t="str">
        <f>IF($D242="","Vazio",IF(COUNTIF($D$2:$D$369,$D242)&gt;1,"Duplicado","Único"))</f>
        <v>Único</v>
      </c>
      <c r="G242" s="40" t="str">
        <f>IF(TRIM(Base_Original!D242)="","",SUBSTITUTE(TRIM(Base_Original!D242),"anos",""))</f>
        <v>55</v>
      </c>
      <c r="H242" s="50">
        <f>IF($J242="","Vazio",DATEDIF($J242,DATE(2026,9,10),"Y"))</f>
        <v>55</v>
      </c>
      <c r="I24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42" s="33">
        <v>26075</v>
      </c>
      <c r="K242" s="42" t="s">
        <v>51</v>
      </c>
      <c r="L242" s="42" t="str">
        <f>PROPER(Base_Original!G243)</f>
        <v>Norte</v>
      </c>
      <c r="M242" s="43">
        <v>21100</v>
      </c>
      <c r="N242" s="43">
        <f>IF(ISNUMBER(Base_Original!I243),Base_Original!I243,IF(RIGHT(Base_Original!I243,7)=" moedas",VALUE(LEFT(Base_Original!I243,LEN(Base_Original!I243)-7)),Base_Original!I243))</f>
        <v>32000</v>
      </c>
      <c r="O242" s="44" t="str">
        <f>IF(AND($N242&gt;50000,$Q242="Sim"),"Negada","Aprovada")</f>
        <v>Aprovada</v>
      </c>
      <c r="P242" s="45">
        <f>IF(AND($T242="Negada",$O242="Negada"),0,IF($B242="Ativo",$U242*8%,"0"))</f>
        <v>1600</v>
      </c>
      <c r="Q242" s="46" t="str">
        <f>IF(OR(Base_Original!J243="Sim",Base_Original!J243="sim",Base_Original!J243="SIM"),"Sim",IF(OR(Base_Original!J243="Não",Base_Original!J243="não",Base_Original!J243="NÃO",Base_Original!J243="Nao"),"Não",IF(Base_Original!J243="","vazio",Base_Original!J243)))</f>
        <v>Sim</v>
      </c>
      <c r="R242" s="46">
        <f>IF(ISNUMBER(Base_Original!K243),Base_Original!K243,IF(RIGHT(Base_Original!K243,9)=" batalhas",VALUE(LEFT(Base_Original!K243,LEN(Base_Original!K243)-9)),Base_Original!K243))</f>
        <v>26</v>
      </c>
      <c r="S242" s="42" t="str">
        <f>IF($R242="vazio","vazio",IF($R242&lt;=10,"Baixo",IF($R242&lt;=25,"Médio","Alto")))</f>
        <v>Alto</v>
      </c>
      <c r="T242" s="42" t="str">
        <f>IF(AND($S242="Alto",$Q242="Sim"),"Negada","Aprovada")</f>
        <v>Negada</v>
      </c>
      <c r="U242" s="43">
        <v>20000</v>
      </c>
    </row>
    <row r="243" spans="1:21">
      <c r="A243" s="47" t="s">
        <v>1097</v>
      </c>
      <c r="B243" s="37" t="str">
        <f>IF(Base_Original!A242="","vazio",IF(Base_Original!A242="ATIVO","Ativo",IF(Base_Original!A242="INATIVO","Inativo",Base_Original!A242)))</f>
        <v>Inativo</v>
      </c>
      <c r="C243" s="37" t="str">
        <f>PROPER(Base_Original!B242)</f>
        <v>Renly Bolton</v>
      </c>
      <c r="D243" s="38" t="s">
        <v>540</v>
      </c>
      <c r="E243" s="39" t="str">
        <f>IF($D243="","Vazio",IF(LEN(SUBSTITUTE(SUBSTITUTE($D243&amp;"",".",""),"-",""))&lt;&gt;11,"Inválido","OK"))</f>
        <v>OK</v>
      </c>
      <c r="F243" s="39" t="str">
        <f>IF($D243="","Vazio",IF(COUNTIF($D$2:$D$369,$D243)&gt;1,"Duplicado","Único"))</f>
        <v>Único</v>
      </c>
      <c r="G243" s="40" t="str">
        <f>IF(TRIM(Base_Original!D243)="","",SUBSTITUTE(TRIM(Base_Original!D243),"anos",""))</f>
        <v>24</v>
      </c>
      <c r="H243" s="50" t="s">
        <v>909</v>
      </c>
      <c r="I243" s="51" t="s">
        <v>909</v>
      </c>
      <c r="J243" s="33"/>
      <c r="K243" s="42" t="s">
        <v>40</v>
      </c>
      <c r="L243" s="42" t="str">
        <f>PROPER(Base_Original!G242)</f>
        <v>Vale</v>
      </c>
      <c r="M243" s="43">
        <v>29300</v>
      </c>
      <c r="N243" s="43">
        <f>IF(ISNUMBER(Base_Original!I242),Base_Original!I242,IF(RIGHT(Base_Original!I242,7)=" moedas",VALUE(LEFT(Base_Original!I242,LEN(Base_Original!I242)-7)),Base_Original!I242))</f>
        <v>67500</v>
      </c>
      <c r="O243" s="44" t="str">
        <f>IF(AND($N243&gt;50000,$Q243="Sim"),"Negada","Aprovada")</f>
        <v>Aprovada</v>
      </c>
      <c r="P243" s="45" t="str">
        <f>IF(AND($T243="Negada",$O243="Negada"),0,IF($B243="Ativo",$U243*8%,"0"))</f>
        <v>0</v>
      </c>
      <c r="Q243" s="46" t="str">
        <f>IF(OR(Base_Original!J242="Sim",Base_Original!J242="sim",Base_Original!J242="SIM"),"Sim",IF(OR(Base_Original!J242="Não",Base_Original!J242="não",Base_Original!J242="NÃO",Base_Original!J242="Nao"),"Não",IF(Base_Original!J242="","vazio",Base_Original!J242)))</f>
        <v>Não</v>
      </c>
      <c r="R243" s="46">
        <f>IF(ISNUMBER(Base_Original!K242),Base_Original!K242,IF(RIGHT(Base_Original!K242,9)=" batalhas",VALUE(LEFT(Base_Original!K242,LEN(Base_Original!K242)-9)),Base_Original!K242))</f>
        <v>15</v>
      </c>
      <c r="S243" s="42" t="str">
        <f>IF($R243="vazio","vazio",IF($R243&lt;=10,"Baixo",IF($R243&lt;=25,"Médio","Alto")))</f>
        <v>Médio</v>
      </c>
      <c r="T243" s="42" t="str">
        <f>IF(AND($S243="Alto",$Q243="Sim"),"Negada","Aprovada")</f>
        <v>Aprovada</v>
      </c>
      <c r="U243" s="43">
        <v>59000</v>
      </c>
    </row>
    <row r="244" spans="1:21">
      <c r="A244" s="47" t="s">
        <v>1098</v>
      </c>
      <c r="B244" s="37" t="str">
        <f>IF(Base_Original!A244="","vazio",IF(Base_Original!A244="ATIVO","Ativo",IF(Base_Original!A244="INATIVO","Inativo",Base_Original!A244)))</f>
        <v>Inativo</v>
      </c>
      <c r="C244" s="37" t="str">
        <f>PROPER(Base_Original!B244)</f>
        <v>Renly Dayne</v>
      </c>
      <c r="D244" s="38" t="s">
        <v>542</v>
      </c>
      <c r="E244" s="39" t="str">
        <f>IF($D244="","Vazio",IF(LEN(SUBSTITUTE(SUBSTITUTE($D244&amp;"",".",""),"-",""))&lt;&gt;11,"Inválido","OK"))</f>
        <v>OK</v>
      </c>
      <c r="F244" s="39" t="str">
        <f>IF($D244="","Vazio",IF(COUNTIF($D$2:$D$369,$D244)&gt;1,"Duplicado","Único"))</f>
        <v>Único</v>
      </c>
      <c r="G244" s="40" t="str">
        <f>IF(TRIM(Base_Original!D244)="","",SUBSTITUTE(TRIM(Base_Original!D244),"anos",""))</f>
        <v/>
      </c>
      <c r="H244" s="50">
        <f>IF($J244="","Vazio",DATEDIF($J244,DATE(2026,9,10),"Y"))</f>
        <v>72</v>
      </c>
      <c r="I24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244" s="33">
        <v>19672</v>
      </c>
      <c r="K244" s="42" t="s">
        <v>34</v>
      </c>
      <c r="L244" s="42" t="str">
        <f>PROPER(Base_Original!G244)</f>
        <v>Dorne</v>
      </c>
      <c r="M244" s="43">
        <v>21000</v>
      </c>
      <c r="N244" s="43">
        <f>IF(ISNUMBER(Base_Original!I244),Base_Original!I244,IF(RIGHT(Base_Original!I244,7)=" moedas",VALUE(LEFT(Base_Original!I244,LEN(Base_Original!I244)-7)),Base_Original!I244))</f>
        <v>0</v>
      </c>
      <c r="O244" s="44" t="str">
        <f>IF(AND($N244&gt;50000,$Q244="Sim"),"Negada","Aprovada")</f>
        <v>Aprovada</v>
      </c>
      <c r="P244" s="45" t="str">
        <f>IF(AND($T244="Negada",$O244="Negada"),0,IF($B244="Ativo",$U244*8%,"0"))</f>
        <v>0</v>
      </c>
      <c r="Q244" s="46" t="str">
        <f>IF(OR(Base_Original!J244="Sim",Base_Original!J244="sim",Base_Original!J244="SIM"),"Sim",IF(OR(Base_Original!J244="Não",Base_Original!J244="não",Base_Original!J244="NÃO",Base_Original!J244="Nao"),"Não",IF(Base_Original!J244="","vazio",Base_Original!J244)))</f>
        <v>Não</v>
      </c>
      <c r="R244" s="46">
        <f>IF(ISNUMBER(Base_Original!K244),Base_Original!K244,IF(RIGHT(Base_Original!K244,9)=" batalhas",VALUE(LEFT(Base_Original!K244,LEN(Base_Original!K244)-9)),Base_Original!K244))</f>
        <v>11</v>
      </c>
      <c r="S244" s="42" t="str">
        <f>IF($R244="vazio","vazio",IF($R244&lt;=10,"Baixo",IF($R244&lt;=25,"Médio","Alto")))</f>
        <v>Médio</v>
      </c>
      <c r="T244" s="42" t="str">
        <f>IF(AND($S244="Alto",$Q244="Sim"),"Negada","Aprovada")</f>
        <v>Aprovada</v>
      </c>
      <c r="U244" s="43">
        <v>75500</v>
      </c>
    </row>
    <row r="245" spans="1:21">
      <c r="A245" s="47" t="s">
        <v>1099</v>
      </c>
      <c r="B245" s="37" t="str">
        <f>IF(Base_Original!A245="","vazio",IF(Base_Original!A245="ATIVO","Ativo",IF(Base_Original!A245="INATIVO","Inativo",Base_Original!A245)))</f>
        <v>Ativo</v>
      </c>
      <c r="C245" s="37" t="str">
        <f>PROPER(Base_Original!B245)</f>
        <v>Renly Mallister</v>
      </c>
      <c r="D245" s="38" t="s">
        <v>544</v>
      </c>
      <c r="E245" s="39" t="str">
        <f>IF($D245="","Vazio",IF(LEN(SUBSTITUTE(SUBSTITUTE($D245&amp;"",".",""),"-",""))&lt;&gt;11,"Inválido","OK"))</f>
        <v>OK</v>
      </c>
      <c r="F245" s="39" t="str">
        <f>IF($D245="","Vazio",IF(COUNTIF($D$2:$D$369,$D245)&gt;1,"Duplicado","Único"))</f>
        <v>Único</v>
      </c>
      <c r="G245" s="40" t="str">
        <f>IF(TRIM(Base_Original!D245)="","",SUBSTITUTE(TRIM(Base_Original!D245),"anos",""))</f>
        <v>34</v>
      </c>
      <c r="H245" s="50">
        <f>IF($J245="","Vazio",DATEDIF($J245,DATE(2026,9,10),"Y"))</f>
        <v>34</v>
      </c>
      <c r="I24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45" s="33">
        <v>33525</v>
      </c>
      <c r="K245" s="42" t="s">
        <v>242</v>
      </c>
      <c r="L245" s="42" t="str">
        <f>PROPER(Base_Original!G245)</f>
        <v/>
      </c>
      <c r="M245" s="43">
        <v>28000</v>
      </c>
      <c r="N245" s="43">
        <f>IF(ISNUMBER(Base_Original!I245),Base_Original!I245,IF(RIGHT(Base_Original!I245,7)=" moedas",VALUE(LEFT(Base_Original!I245,LEN(Base_Original!I245)-7)),Base_Original!I245))</f>
        <v>36500</v>
      </c>
      <c r="O245" s="44" t="str">
        <f>IF(AND($N245&gt;50000,$Q245="Sim"),"Negada","Aprovada")</f>
        <v>Aprovada</v>
      </c>
      <c r="P245" s="45">
        <f>IF(AND($T245="Negada",$O245="Negada"),0,IF($B245="Ativo",$U245*8%,"0"))</f>
        <v>4800</v>
      </c>
      <c r="Q245" s="46" t="str">
        <f>IF(OR(Base_Original!J245="Sim",Base_Original!J245="sim",Base_Original!J245="SIM"),"Sim",IF(OR(Base_Original!J245="Não",Base_Original!J245="não",Base_Original!J245="NÃO",Base_Original!J245="Nao"),"Não",IF(Base_Original!J245="","vazio",Base_Original!J245)))</f>
        <v>Não</v>
      </c>
      <c r="R245" s="46">
        <f>IF(ISNUMBER(Base_Original!K245),Base_Original!K245,IF(RIGHT(Base_Original!K245,9)=" batalhas",VALUE(LEFT(Base_Original!K245,LEN(Base_Original!K245)-9)),Base_Original!K245))</f>
        <v>33</v>
      </c>
      <c r="S245" s="42" t="str">
        <f>IF($R245="vazio","vazio",IF($R245&lt;=10,"Baixo",IF($R245&lt;=25,"Médio","Alto")))</f>
        <v>Alto</v>
      </c>
      <c r="T245" s="42" t="str">
        <f>IF(AND($S245="Alto",$Q245="Sim"),"Negada","Aprovada")</f>
        <v>Aprovada</v>
      </c>
      <c r="U245" s="43">
        <v>60000</v>
      </c>
    </row>
    <row r="246" spans="1:21">
      <c r="A246" s="47" t="s">
        <v>1100</v>
      </c>
      <c r="B246" s="37" t="str">
        <f>IF(Base_Original!A246="","vazio",IF(Base_Original!A246="ATIVO","Ativo",IF(Base_Original!A246="INATIVO","Inativo",Base_Original!A246)))</f>
        <v>Ativo</v>
      </c>
      <c r="C246" s="37" t="str">
        <f>PROPER(Base_Original!B246)</f>
        <v>Renly Mormont</v>
      </c>
      <c r="D246" s="38" t="s">
        <v>546</v>
      </c>
      <c r="E246" s="39" t="str">
        <f>IF($D246="","Vazio",IF(LEN(SUBSTITUTE(SUBSTITUTE($D246&amp;"",".",""),"-",""))&lt;&gt;11,"Inválido","OK"))</f>
        <v>OK</v>
      </c>
      <c r="F246" s="39" t="str">
        <f>IF($D246="","Vazio",IF(COUNTIF($D$2:$D$369,$D246)&gt;1,"Duplicado","Único"))</f>
        <v>Único</v>
      </c>
      <c r="G246" s="40" t="str">
        <f>IF(TRIM(Base_Original!D246)="","",SUBSTITUTE(TRIM(Base_Original!D246),"anos",""))</f>
        <v>57</v>
      </c>
      <c r="H246" s="50">
        <f>IF($J246="","Vazio",DATEDIF($J246,DATE(2026,9,10),"Y"))</f>
        <v>57</v>
      </c>
      <c r="I24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46" s="33">
        <v>25199</v>
      </c>
      <c r="K246" s="42" t="s">
        <v>101</v>
      </c>
      <c r="L246" s="42" t="str">
        <f>PROPER(Base_Original!G246)</f>
        <v>Campina</v>
      </c>
      <c r="M246" s="43">
        <v>20700</v>
      </c>
      <c r="N246" s="43">
        <f>IF(ISNUMBER(Base_Original!I246),Base_Original!I246,IF(RIGHT(Base_Original!I246,7)=" moedas",VALUE(LEFT(Base_Original!I246,LEN(Base_Original!I246)-7)),Base_Original!I246))</f>
        <v>64500</v>
      </c>
      <c r="O246" s="44" t="str">
        <f>IF(AND($N246&gt;50000,$Q246="Sim"),"Negada","Aprovada")</f>
        <v>Aprovada</v>
      </c>
      <c r="P246" s="45">
        <f>IF(AND($T246="Negada",$O246="Negada"),0,IF($B246="Ativo",$U246*8%,"0"))</f>
        <v>4360</v>
      </c>
      <c r="Q246" s="46" t="str">
        <f>IF(OR(Base_Original!J246="Sim",Base_Original!J246="sim",Base_Original!J246="SIM"),"Sim",IF(OR(Base_Original!J246="Não",Base_Original!J246="não",Base_Original!J246="NÃO",Base_Original!J246="Nao"),"Não",IF(Base_Original!J246="","vazio",Base_Original!J246)))</f>
        <v>Não</v>
      </c>
      <c r="R246" s="46">
        <f>IF(ISNUMBER(Base_Original!K246),Base_Original!K246,IF(RIGHT(Base_Original!K246,9)=" batalhas",VALUE(LEFT(Base_Original!K246,LEN(Base_Original!K246)-9)),Base_Original!K246))</f>
        <v>19</v>
      </c>
      <c r="S246" s="42" t="str">
        <f>IF($R246="vazio","vazio",IF($R246&lt;=10,"Baixo",IF($R246&lt;=25,"Médio","Alto")))</f>
        <v>Médio</v>
      </c>
      <c r="T246" s="42" t="str">
        <f>IF(AND($S246="Alto",$Q246="Sim"),"Negada","Aprovada")</f>
        <v>Aprovada</v>
      </c>
      <c r="U246" s="43">
        <v>54500</v>
      </c>
    </row>
    <row r="247" spans="1:21">
      <c r="A247" s="47" t="s">
        <v>1101</v>
      </c>
      <c r="B247" s="37" t="str">
        <f>IF(Base_Original!A247="","vazio",IF(Base_Original!A247="ATIVO","Ativo",IF(Base_Original!A247="INATIVO","Inativo",Base_Original!A247)))</f>
        <v>Inativo</v>
      </c>
      <c r="C247" s="37" t="str">
        <f>PROPER(Base_Original!B247)</f>
        <v>Renly Redwyne</v>
      </c>
      <c r="D247" s="38" t="s">
        <v>549</v>
      </c>
      <c r="E247" s="39" t="str">
        <f>IF($D247="","Vazio",IF(LEN(SUBSTITUTE(SUBSTITUTE($D247&amp;"",".",""),"-",""))&lt;&gt;11,"Inválido","OK"))</f>
        <v>OK</v>
      </c>
      <c r="F247" s="39" t="str">
        <f>IF($D247="","Vazio",IF(COUNTIF($D$2:$D$369,$D247)&gt;1,"Duplicado","Único"))</f>
        <v>Único</v>
      </c>
      <c r="G247" s="40" t="str">
        <f>IF(TRIM(Base_Original!D247)="","",SUBSTITUTE(TRIM(Base_Original!D247),"anos",""))</f>
        <v>66</v>
      </c>
      <c r="H247" s="50">
        <f>IF($J247="","Vazio",DATEDIF($J247,DATE(2026,9,10),"Y"))</f>
        <v>66</v>
      </c>
      <c r="I24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47" s="33">
        <v>21954</v>
      </c>
      <c r="K247" s="42" t="s">
        <v>104</v>
      </c>
      <c r="L247" s="42" t="str">
        <f>PROPER(Base_Original!G247)</f>
        <v>Terras Da Coroa</v>
      </c>
      <c r="M247" s="43">
        <v>3400</v>
      </c>
      <c r="N247" s="43">
        <f>IF(ISNUMBER(Base_Original!I247),Base_Original!I247,IF(RIGHT(Base_Original!I247,7)=" moedas",VALUE(LEFT(Base_Original!I247,LEN(Base_Original!I247)-7)),Base_Original!I247))</f>
        <v>78000</v>
      </c>
      <c r="O247" s="44" t="str">
        <f>IF(AND($N247&gt;50000,$Q247="Sim"),"Negada","Aprovada")</f>
        <v>Aprovada</v>
      </c>
      <c r="P247" s="45" t="str">
        <f>IF(AND($T247="Negada",$O247="Negada"),0,IF($B247="Ativo",$U247*8%,"0"))</f>
        <v>0</v>
      </c>
      <c r="Q247" s="46" t="str">
        <f>IF(OR(Base_Original!J247="Sim",Base_Original!J247="sim",Base_Original!J247="SIM"),"Sim",IF(OR(Base_Original!J247="Não",Base_Original!J247="não",Base_Original!J247="NÃO",Base_Original!J247="Nao"),"Não",IF(Base_Original!J247="","vazio",Base_Original!J247)))</f>
        <v>Não</v>
      </c>
      <c r="R247" s="46">
        <f>IF(ISNUMBER(Base_Original!K247),Base_Original!K247,IF(RIGHT(Base_Original!K247,9)=" batalhas",VALUE(LEFT(Base_Original!K247,LEN(Base_Original!K247)-9)),Base_Original!K247))</f>
        <v>9</v>
      </c>
      <c r="S247" s="42" t="str">
        <f>IF($R247="vazio","vazio",IF($R247&lt;=10,"Baixo",IF($R247&lt;=25,"Médio","Alto")))</f>
        <v>Baixo</v>
      </c>
      <c r="T247" s="42" t="str">
        <f>IF(AND($S247="Alto",$Q247="Sim"),"Negada","Aprovada")</f>
        <v>Aprovada</v>
      </c>
      <c r="U247" s="43">
        <v>51500</v>
      </c>
    </row>
    <row r="248" spans="1:21">
      <c r="A248" s="47" t="s">
        <v>1102</v>
      </c>
      <c r="B248" s="37" t="str">
        <f>IF(Base_Original!A248="","vazio",IF(Base_Original!A248="ATIVO","Ativo",IF(Base_Original!A248="INATIVO","Inativo",Base_Original!A248)))</f>
        <v>Ativo</v>
      </c>
      <c r="C248" s="37" t="str">
        <f>PROPER(Base_Original!B248)</f>
        <v>Renly Seaworth</v>
      </c>
      <c r="D248" s="38">
        <v>35000</v>
      </c>
      <c r="E248" s="39" t="str">
        <f>IF($D248="","Vazio",IF(LEN(SUBSTITUTE(SUBSTITUTE($D248&amp;"",".",""),"-",""))&lt;&gt;11,"Inválido","OK"))</f>
        <v>Inválido</v>
      </c>
      <c r="F248" s="39" t="str">
        <f>IF($D248="","Vazio",IF(COUNTIF($D$2:$D$369,$D248)&gt;1,"Duplicado","Único"))</f>
        <v>Único</v>
      </c>
      <c r="G248" s="40" t="str">
        <f>IF(TRIM(Base_Original!D248)="","",SUBSTITUTE(TRIM(Base_Original!D248),"anos",""))</f>
        <v>18</v>
      </c>
      <c r="H248" s="50">
        <f>IF($J248="","Vazio",DATEDIF($J248,DATE(2026,9,10),"Y"))</f>
        <v>18</v>
      </c>
      <c r="I24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48" s="33">
        <v>39342</v>
      </c>
      <c r="K248" s="42" t="s">
        <v>101</v>
      </c>
      <c r="L248" s="42" t="str">
        <f>PROPER(Base_Original!G248)</f>
        <v>Campina</v>
      </c>
      <c r="M248" s="43">
        <v>28900</v>
      </c>
      <c r="N248" s="43">
        <f>IF(ISNUMBER(Base_Original!I248),Base_Original!I248,IF(RIGHT(Base_Original!I248,7)=" moedas",VALUE(LEFT(Base_Original!I248,LEN(Base_Original!I248)-7)),Base_Original!I248))</f>
        <v>22000</v>
      </c>
      <c r="O248" s="44" t="str">
        <f>IF(AND($N248&gt;50000,$Q248="Sim"),"Negada","Aprovada")</f>
        <v>Aprovada</v>
      </c>
      <c r="P248" s="45">
        <f>IF(AND($T248="Negada",$O248="Negada"),0,IF($B248="Ativo",$U248*8%,"0"))</f>
        <v>7200</v>
      </c>
      <c r="Q248" s="46" t="str">
        <f>IF(OR(Base_Original!J248="Sim",Base_Original!J248="sim",Base_Original!J248="SIM"),"Sim",IF(OR(Base_Original!J248="Não",Base_Original!J248="não",Base_Original!J248="NÃO",Base_Original!J248="Nao"),"Não",IF(Base_Original!J248="","vazio",Base_Original!J248)))</f>
        <v>Não</v>
      </c>
      <c r="R248" s="46">
        <f>IF(ISNUMBER(Base_Original!K248),Base_Original!K248,IF(RIGHT(Base_Original!K248,9)=" batalhas",VALUE(LEFT(Base_Original!K248,LEN(Base_Original!K248)-9)),Base_Original!K248))</f>
        <v>23</v>
      </c>
      <c r="S248" s="42" t="str">
        <f>IF($R248="vazio","vazio",IF($R248&lt;=10,"Baixo",IF($R248&lt;=25,"Médio","Alto")))</f>
        <v>Médio</v>
      </c>
      <c r="T248" s="42" t="str">
        <f>IF(AND($S248="Alto",$Q248="Sim"),"Negada","Aprovada")</f>
        <v>Aprovada</v>
      </c>
      <c r="U248" s="43">
        <v>90000</v>
      </c>
    </row>
    <row r="249" spans="1:21">
      <c r="A249" s="47" t="s">
        <v>1103</v>
      </c>
      <c r="B249" s="37" t="str">
        <f>IF(Base_Original!A249="","vazio",IF(Base_Original!A249="ATIVO","Ativo",IF(Base_Original!A249="INATIVO","Inativo",Base_Original!A249)))</f>
        <v>Ativo</v>
      </c>
      <c r="C249" s="37" t="str">
        <f>PROPER(Base_Original!B249)</f>
        <v>Renly Stark</v>
      </c>
      <c r="D249" s="38">
        <v>25200</v>
      </c>
      <c r="E249" s="39" t="str">
        <f>IF($D249="","Vazio",IF(LEN(SUBSTITUTE(SUBSTITUTE($D249&amp;"",".",""),"-",""))&lt;&gt;11,"Inválido","OK"))</f>
        <v>Inválido</v>
      </c>
      <c r="F249" s="39" t="str">
        <f>IF($D249="","Vazio",IF(COUNTIF($D$2:$D$369,$D249)&gt;1,"Duplicado","Único"))</f>
        <v>Único</v>
      </c>
      <c r="G249" s="40" t="str">
        <f>IF(TRIM(Base_Original!D249)="","",SUBSTITUTE(TRIM(Base_Original!D249),"anos",""))</f>
        <v>44</v>
      </c>
      <c r="H249" s="50">
        <f>IF($J249="","Vazio",DATEDIF($J249,DATE(2026,9,10),"Y"))</f>
        <v>44</v>
      </c>
      <c r="I24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49" s="33">
        <v>30081</v>
      </c>
      <c r="K249" s="42" t="s">
        <v>62</v>
      </c>
      <c r="L249" s="42" t="str">
        <f>PROPER(Base_Original!G249)</f>
        <v>Essos</v>
      </c>
      <c r="M249" s="43">
        <v>9600</v>
      </c>
      <c r="N249" s="43">
        <f>IF(ISNUMBER(Base_Original!I249),Base_Original!I249,IF(RIGHT(Base_Original!I249,7)=" moedas",VALUE(LEFT(Base_Original!I249,LEN(Base_Original!I249)-7)),Base_Original!I249))</f>
        <v>66000</v>
      </c>
      <c r="O249" s="44" t="str">
        <f>IF(AND($N249&gt;50000,$Q249="Sim"),"Negada","Aprovada")</f>
        <v>Aprovada</v>
      </c>
      <c r="P249" s="45">
        <f>IF(AND($T249="Negada",$O249="Negada"),0,IF($B249="Ativo",$U249*8%,"0"))</f>
        <v>360</v>
      </c>
      <c r="Q249" s="46" t="str">
        <f>IF(OR(Base_Original!J249="Sim",Base_Original!J249="sim",Base_Original!J249="SIM"),"Sim",IF(OR(Base_Original!J249="Não",Base_Original!J249="não",Base_Original!J249="NÃO",Base_Original!J249="Nao"),"Não",IF(Base_Original!J249="","vazio",Base_Original!J249)))</f>
        <v>vazio</v>
      </c>
      <c r="R249" s="46">
        <f>IF(ISNUMBER(Base_Original!K249),Base_Original!K249,IF(RIGHT(Base_Original!K249,9)=" batalhas",VALUE(LEFT(Base_Original!K249,LEN(Base_Original!K249)-9)),Base_Original!K249))</f>
        <v>11</v>
      </c>
      <c r="S249" s="42" t="str">
        <f>IF($R249="vazio","vazio",IF($R249&lt;=10,"Baixo",IF($R249&lt;=25,"Médio","Alto")))</f>
        <v>Médio</v>
      </c>
      <c r="T249" s="42" t="str">
        <f>IF(AND($S249="Alto",$Q249="Sim"),"Negada","Aprovada")</f>
        <v>Aprovada</v>
      </c>
      <c r="U249" s="43">
        <v>4500</v>
      </c>
    </row>
    <row r="250" spans="1:21">
      <c r="A250" s="47" t="s">
        <v>1104</v>
      </c>
      <c r="B250" s="37" t="str">
        <f>IF(Base_Original!A250="","vazio",IF(Base_Original!A250="ATIVO","Ativo",IF(Base_Original!A250="INATIVO","Inativo",Base_Original!A250)))</f>
        <v>Inativo</v>
      </c>
      <c r="C250" s="37" t="str">
        <f>PROPER(Base_Original!B250)</f>
        <v>Renly Tallhart</v>
      </c>
      <c r="D250" s="38">
        <v>11700</v>
      </c>
      <c r="E250" s="39" t="str">
        <f>IF($D250="","Vazio",IF(LEN(SUBSTITUTE(SUBSTITUTE($D250&amp;"",".",""),"-",""))&lt;&gt;11,"Inválido","OK"))</f>
        <v>Inválido</v>
      </c>
      <c r="F250" s="39" t="str">
        <f>IF($D250="","Vazio",IF(COUNTIF($D$2:$D$369,$D250)&gt;1,"Duplicado","Único"))</f>
        <v>Único</v>
      </c>
      <c r="G250" s="40" t="str">
        <f>IF(TRIM(Base_Original!D250)="","",SUBSTITUTE(TRIM(Base_Original!D250),"anos",""))</f>
        <v>27</v>
      </c>
      <c r="H250" s="50">
        <f>IF($J250="","Vazio",DATEDIF($J250,DATE(2026,9,10),"Y"))</f>
        <v>27</v>
      </c>
      <c r="I25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50" s="33">
        <v>36151</v>
      </c>
      <c r="K250" s="42" t="s">
        <v>242</v>
      </c>
      <c r="L250" s="42" t="str">
        <f>PROPER(Base_Original!G250)</f>
        <v>Norte</v>
      </c>
      <c r="M250" s="43">
        <v>25900</v>
      </c>
      <c r="N250" s="43">
        <f>IF(ISNUMBER(Base_Original!I250),Base_Original!I250,IF(RIGHT(Base_Original!I250,7)=" moedas",VALUE(LEFT(Base_Original!I250,LEN(Base_Original!I250)-7)),Base_Original!I250))</f>
        <v>0</v>
      </c>
      <c r="O250" s="44" t="str">
        <f>IF(AND($N250&gt;50000,$Q250="Sim"),"Negada","Aprovada")</f>
        <v>Aprovada</v>
      </c>
      <c r="P250" s="45" t="str">
        <f>IF(AND($T250="Negada",$O250="Negada"),0,IF($B250="Ativo",$U250*8%,"0"))</f>
        <v>0</v>
      </c>
      <c r="Q250" s="46" t="str">
        <f>IF(OR(Base_Original!J250="Sim",Base_Original!J250="sim",Base_Original!J250="SIM"),"Sim",IF(OR(Base_Original!J250="Não",Base_Original!J250="não",Base_Original!J250="NÃO",Base_Original!J250="Nao"),"Não",IF(Base_Original!J250="","vazio",Base_Original!J250)))</f>
        <v>Sim</v>
      </c>
      <c r="R250" s="46">
        <f>IF(ISNUMBER(Base_Original!K250),Base_Original!K250,IF(RIGHT(Base_Original!K250,9)=" batalhas",VALUE(LEFT(Base_Original!K250,LEN(Base_Original!K250)-9)),Base_Original!K250))</f>
        <v>10</v>
      </c>
      <c r="S250" s="42" t="str">
        <f>IF($R250="vazio","vazio",IF($R250&lt;=10,"Baixo",IF($R250&lt;=25,"Médio","Alto")))</f>
        <v>Baixo</v>
      </c>
      <c r="T250" s="42" t="str">
        <f>IF(AND($S250="Alto",$Q250="Sim"),"Negada","Aprovada")</f>
        <v>Aprovada</v>
      </c>
      <c r="U250" s="43">
        <v>5000</v>
      </c>
    </row>
    <row r="251" spans="1:21">
      <c r="A251" s="47" t="s">
        <v>1105</v>
      </c>
      <c r="B251" s="37" t="str">
        <f>IF(Base_Original!A251="","vazio",IF(Base_Original!A251="ATIVO","Ativo",IF(Base_Original!A251="INATIVO","Inativo",Base_Original!A251)))</f>
        <v>Ativo</v>
      </c>
      <c r="C251" s="37" t="str">
        <f>PROPER(Base_Original!B251)</f>
        <v>Rhaegar Dayne</v>
      </c>
      <c r="D251" s="38" t="s">
        <v>554</v>
      </c>
      <c r="E251" s="39" t="str">
        <f>IF($D251="","Vazio",IF(LEN(SUBSTITUTE(SUBSTITUTE($D251&amp;"",".",""),"-",""))&lt;&gt;11,"Inválido","OK"))</f>
        <v>OK</v>
      </c>
      <c r="F251" s="39" t="str">
        <f>IF($D251="","Vazio",IF(COUNTIF($D$2:$D$369,$D251)&gt;1,"Duplicado","Único"))</f>
        <v>Único</v>
      </c>
      <c r="G251" s="40" t="str">
        <f>IF(TRIM(Base_Original!D251)="","",SUBSTITUTE(TRIM(Base_Original!D251),"anos",""))</f>
        <v>35</v>
      </c>
      <c r="H251" s="50">
        <f>IF($J251="","Vazio",DATEDIF($J251,DATE(2026,9,10),"Y"))</f>
        <v>35</v>
      </c>
      <c r="I25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51" s="33">
        <v>33309</v>
      </c>
      <c r="K251" s="42" t="s">
        <v>25</v>
      </c>
      <c r="L251" s="42" t="str">
        <f>PROPER(Base_Original!G251)</f>
        <v>Terras Fluviais</v>
      </c>
      <c r="M251" s="43">
        <v>28500</v>
      </c>
      <c r="N251" s="43">
        <f>IF(ISNUMBER(Base_Original!I251),Base_Original!I251,IF(RIGHT(Base_Original!I251,7)=" moedas",VALUE(LEFT(Base_Original!I251,LEN(Base_Original!I251)-7)),Base_Original!I251))</f>
        <v>48500</v>
      </c>
      <c r="O251" s="44" t="str">
        <f>IF(AND($N251&gt;50000,$Q251="Sim"),"Negada","Aprovada")</f>
        <v>Aprovada</v>
      </c>
      <c r="P251" s="45">
        <f>IF(AND($T251="Negada",$O251="Negada"),0,IF($B251="Ativo",$U251*8%,"0"))</f>
        <v>6440</v>
      </c>
      <c r="Q251" s="46" t="str">
        <f>IF(OR(Base_Original!J251="Sim",Base_Original!J251="sim",Base_Original!J251="SIM"),"Sim",IF(OR(Base_Original!J251="Não",Base_Original!J251="não",Base_Original!J251="NÃO",Base_Original!J251="Nao"),"Não",IF(Base_Original!J251="","vazio",Base_Original!J251)))</f>
        <v>Não</v>
      </c>
      <c r="R251" s="46">
        <f>IF(ISNUMBER(Base_Original!K251),Base_Original!K251,IF(RIGHT(Base_Original!K251,9)=" batalhas",VALUE(LEFT(Base_Original!K251,LEN(Base_Original!K251)-9)),Base_Original!K251))</f>
        <v>24</v>
      </c>
      <c r="S251" s="42" t="str">
        <f>IF($R251="vazio","vazio",IF($R251&lt;=10,"Baixo",IF($R251&lt;=25,"Médio","Alto")))</f>
        <v>Médio</v>
      </c>
      <c r="T251" s="42" t="str">
        <f>IF(AND($S251="Alto",$Q251="Sim"),"Negada","Aprovada")</f>
        <v>Aprovada</v>
      </c>
      <c r="U251" s="43">
        <v>80500</v>
      </c>
    </row>
    <row r="252" spans="1:21">
      <c r="A252" s="47" t="s">
        <v>1106</v>
      </c>
      <c r="B252" s="37" t="str">
        <f>IF(Base_Original!A252="","vazio",IF(Base_Original!A252="ATIVO","Ativo",IF(Base_Original!A252="INATIVO","Inativo",Base_Original!A252)))</f>
        <v>Ativo</v>
      </c>
      <c r="C252" s="37" t="str">
        <f>PROPER(Base_Original!B252)</f>
        <v>Rhaegar Hornwood</v>
      </c>
      <c r="D252" s="38" t="s">
        <v>556</v>
      </c>
      <c r="E252" s="39" t="str">
        <f>IF($D252="","Vazio",IF(LEN(SUBSTITUTE(SUBSTITUTE($D252&amp;"",".",""),"-",""))&lt;&gt;11,"Inválido","OK"))</f>
        <v>OK</v>
      </c>
      <c r="F252" s="39" t="str">
        <f>IF($D252="","Vazio",IF(COUNTIF($D$2:$D$369,$D252)&gt;1,"Duplicado","Único"))</f>
        <v>Único</v>
      </c>
      <c r="G252" s="40" t="str">
        <f>IF(TRIM(Base_Original!D252)="","",SUBSTITUTE(TRIM(Base_Original!D252),"anos",""))</f>
        <v>30</v>
      </c>
      <c r="H252" s="50">
        <f>IF($J252="","Vazio",DATEDIF($J252,DATE(2026,9,10),"Y"))</f>
        <v>30</v>
      </c>
      <c r="I25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52" s="33">
        <v>35109</v>
      </c>
      <c r="K252" s="42" t="s">
        <v>180</v>
      </c>
      <c r="L252" s="42" t="str">
        <f>PROPER(Base_Original!G252)</f>
        <v>Terras Da Tempestade</v>
      </c>
      <c r="M252" s="43">
        <v>2600</v>
      </c>
      <c r="N252" s="43">
        <f>IF(ISNUMBER(Base_Original!I252),Base_Original!I252,IF(RIGHT(Base_Original!I252,7)=" moedas",VALUE(LEFT(Base_Original!I252,LEN(Base_Original!I252)-7)),Base_Original!I252))</f>
        <v>62000</v>
      </c>
      <c r="O252" s="44" t="str">
        <f>IF(AND($N252&gt;50000,$Q252="Sim"),"Negada","Aprovada")</f>
        <v>Aprovada</v>
      </c>
      <c r="P252" s="45">
        <f>IF(AND($T252="Negada",$O252="Negada"),0,IF($B252="Ativo",$U252*8%,"0"))</f>
        <v>4960</v>
      </c>
      <c r="Q252" s="46" t="str">
        <f>IF(OR(Base_Original!J252="Sim",Base_Original!J252="sim",Base_Original!J252="SIM"),"Sim",IF(OR(Base_Original!J252="Não",Base_Original!J252="não",Base_Original!J252="NÃO",Base_Original!J252="Nao"),"Não",IF(Base_Original!J252="","vazio",Base_Original!J252)))</f>
        <v>Não</v>
      </c>
      <c r="R252" s="46">
        <f>IF(ISNUMBER(Base_Original!K252),Base_Original!K252,IF(RIGHT(Base_Original!K252,9)=" batalhas",VALUE(LEFT(Base_Original!K252,LEN(Base_Original!K252)-9)),Base_Original!K252))</f>
        <v>22</v>
      </c>
      <c r="S252" s="42" t="str">
        <f>IF($R252="vazio","vazio",IF($R252&lt;=10,"Baixo",IF($R252&lt;=25,"Médio","Alto")))</f>
        <v>Médio</v>
      </c>
      <c r="T252" s="42" t="str">
        <f>IF(AND($S252="Alto",$Q252="Sim"),"Negada","Aprovada")</f>
        <v>Aprovada</v>
      </c>
      <c r="U252" s="43">
        <v>62000</v>
      </c>
    </row>
    <row r="253" spans="1:21">
      <c r="A253" s="47" t="s">
        <v>1107</v>
      </c>
      <c r="B253" s="37" t="str">
        <f>IF(Base_Original!A253="","vazio",IF(Base_Original!A253="ATIVO","Ativo",IF(Base_Original!A253="INATIVO","Inativo",Base_Original!A253)))</f>
        <v>Ativo</v>
      </c>
      <c r="C253" s="37" t="str">
        <f>PROPER(Base_Original!B253)</f>
        <v>Rhaegar Lannister</v>
      </c>
      <c r="D253" s="38">
        <v>37000</v>
      </c>
      <c r="E253" s="39" t="str">
        <f>IF($D253="","Vazio",IF(LEN(SUBSTITUTE(SUBSTITUTE($D253&amp;"",".",""),"-",""))&lt;&gt;11,"Inválido","OK"))</f>
        <v>Inválido</v>
      </c>
      <c r="F253" s="39" t="str">
        <f>IF($D253="","Vazio",IF(COUNTIF($D$2:$D$369,$D253)&gt;1,"Duplicado","Único"))</f>
        <v>Único</v>
      </c>
      <c r="G253" s="40" t="str">
        <f>IF(TRIM(Base_Original!D253)="","",SUBSTITUTE(TRIM(Base_Original!D253),"anos",""))</f>
        <v>24</v>
      </c>
      <c r="H253" s="50">
        <f>IF($J253="","Vazio",DATEDIF($J253,DATE(2026,9,10),"Y"))</f>
        <v>24</v>
      </c>
      <c r="I25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53" s="33">
        <v>37290</v>
      </c>
      <c r="K253" s="42" t="s">
        <v>20</v>
      </c>
      <c r="L253" s="42" t="str">
        <f>PROPER(Base_Original!G253)</f>
        <v>Campina</v>
      </c>
      <c r="M253" s="43">
        <v>6400</v>
      </c>
      <c r="N253" s="43">
        <f>IF(ISNUMBER(Base_Original!I253),Base_Original!I253,IF(RIGHT(Base_Original!I253,7)=" moedas",VALUE(LEFT(Base_Original!I253,LEN(Base_Original!I253)-7)),Base_Original!I253))</f>
        <v>41000</v>
      </c>
      <c r="O253" s="44" t="str">
        <f>IF(AND($N253&gt;50000,$Q253="Sim"),"Negada","Aprovada")</f>
        <v>Aprovada</v>
      </c>
      <c r="P253" s="45">
        <f>IF(AND($T253="Negada",$O253="Negada"),0,IF($B253="Ativo",$U253*8%,"0"))</f>
        <v>5960</v>
      </c>
      <c r="Q253" s="46" t="str">
        <f>IF(OR(Base_Original!J253="Sim",Base_Original!J253="sim",Base_Original!J253="SIM"),"Sim",IF(OR(Base_Original!J253="Não",Base_Original!J253="não",Base_Original!J253="NÃO",Base_Original!J253="Nao"),"Não",IF(Base_Original!J253="","vazio",Base_Original!J253)))</f>
        <v>Não</v>
      </c>
      <c r="R253" s="46">
        <f>IF(ISNUMBER(Base_Original!K253),Base_Original!K253,IF(RIGHT(Base_Original!K253,9)=" batalhas",VALUE(LEFT(Base_Original!K253,LEN(Base_Original!K253)-9)),Base_Original!K253))</f>
        <v>22</v>
      </c>
      <c r="S253" s="42" t="str">
        <f>IF($R253="vazio","vazio",IF($R253&lt;=10,"Baixo",IF($R253&lt;=25,"Médio","Alto")))</f>
        <v>Médio</v>
      </c>
      <c r="T253" s="42" t="str">
        <f>IF(AND($S253="Alto",$Q253="Sim"),"Negada","Aprovada")</f>
        <v>Aprovada</v>
      </c>
      <c r="U253" s="43">
        <v>74500</v>
      </c>
    </row>
    <row r="254" spans="1:21">
      <c r="A254" s="47" t="s">
        <v>1108</v>
      </c>
      <c r="B254" s="37" t="str">
        <f>IF(Base_Original!A254="","vazio",IF(Base_Original!A254="ATIVO","Ativo",IF(Base_Original!A254="INATIVO","Inativo",Base_Original!A254)))</f>
        <v>Ativo</v>
      </c>
      <c r="C254" s="37" t="str">
        <f>PROPER(Base_Original!B254)</f>
        <v>Rhaegar Mormont</v>
      </c>
      <c r="D254" s="38" t="s">
        <v>559</v>
      </c>
      <c r="E254" s="39" t="str">
        <f>IF($D254="","Vazio",IF(LEN(SUBSTITUTE(SUBSTITUTE($D254&amp;"",".",""),"-",""))&lt;&gt;11,"Inválido","OK"))</f>
        <v>OK</v>
      </c>
      <c r="F254" s="39" t="str">
        <f>IF($D254="","Vazio",IF(COUNTIF($D$2:$D$369,$D254)&gt;1,"Duplicado","Único"))</f>
        <v>Único</v>
      </c>
      <c r="G254" s="40" t="str">
        <f>IF(TRIM(Base_Original!D254)="","",SUBSTITUTE(TRIM(Base_Original!D254),"anos",""))</f>
        <v>64</v>
      </c>
      <c r="H254" s="50">
        <f>IF($J254="","Vazio",DATEDIF($J254,DATE(2026,9,10),"Y"))</f>
        <v>64</v>
      </c>
      <c r="I25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54" s="33">
        <v>22845</v>
      </c>
      <c r="K254" s="42" t="s">
        <v>99</v>
      </c>
      <c r="L254" s="42" t="str">
        <f>PROPER(Base_Original!G254)</f>
        <v>Norte</v>
      </c>
      <c r="M254" s="43">
        <v>12700</v>
      </c>
      <c r="N254" s="43">
        <f>IF(ISNUMBER(Base_Original!I254),Base_Original!I254,IF(RIGHT(Base_Original!I254,7)=" moedas",VALUE(LEFT(Base_Original!I254,LEN(Base_Original!I254)-7)),Base_Original!I254))</f>
        <v>0</v>
      </c>
      <c r="O254" s="44" t="str">
        <f>IF(AND($N254&gt;50000,$Q254="Sim"),"Negada","Aprovada")</f>
        <v>Aprovada</v>
      </c>
      <c r="P254" s="45">
        <f>IF(AND($T254="Negada",$O254="Negada"),0,IF($B254="Ativo",$U254*8%,"0"))</f>
        <v>4040</v>
      </c>
      <c r="Q254" s="46" t="str">
        <f>IF(OR(Base_Original!J254="Sim",Base_Original!J254="sim",Base_Original!J254="SIM"),"Sim",IF(OR(Base_Original!J254="Não",Base_Original!J254="não",Base_Original!J254="NÃO",Base_Original!J254="Nao"),"Não",IF(Base_Original!J254="","vazio",Base_Original!J254)))</f>
        <v>Não</v>
      </c>
      <c r="R254" s="46">
        <f>IF(ISNUMBER(Base_Original!K254),Base_Original!K254,IF(RIGHT(Base_Original!K254,9)=" batalhas",VALUE(LEFT(Base_Original!K254,LEN(Base_Original!K254)-9)),Base_Original!K254))</f>
        <v>21</v>
      </c>
      <c r="S254" s="42" t="str">
        <f>IF($R254="vazio","vazio",IF($R254&lt;=10,"Baixo",IF($R254&lt;=25,"Médio","Alto")))</f>
        <v>Médio</v>
      </c>
      <c r="T254" s="42" t="str">
        <f>IF(AND($S254="Alto",$Q254="Sim"),"Negada","Aprovada")</f>
        <v>Aprovada</v>
      </c>
      <c r="U254" s="43">
        <v>50500</v>
      </c>
    </row>
    <row r="255" spans="1:21">
      <c r="A255" s="47" t="s">
        <v>1109</v>
      </c>
      <c r="B255" s="37" t="str">
        <f>IF(Base_Original!A255="","vazio",IF(Base_Original!A255="ATIVO","Ativo",IF(Base_Original!A255="INATIVO","Inativo",Base_Original!A255)))</f>
        <v>Ativo</v>
      </c>
      <c r="C255" s="37" t="str">
        <f>PROPER(Base_Original!B255)</f>
        <v>Rhaegar Payne</v>
      </c>
      <c r="D255" s="38" t="s">
        <v>561</v>
      </c>
      <c r="E255" s="39" t="str">
        <f>IF($D255="","Vazio",IF(LEN(SUBSTITUTE(SUBSTITUTE($D255&amp;"",".",""),"-",""))&lt;&gt;11,"Inválido","OK"))</f>
        <v>OK</v>
      </c>
      <c r="F255" s="39" t="str">
        <f>IF($D255="","Vazio",IF(COUNTIF($D$2:$D$369,$D255)&gt;1,"Duplicado","Único"))</f>
        <v>Único</v>
      </c>
      <c r="G255" s="40" t="str">
        <f>IF(TRIM(Base_Original!D255)="","",SUBSTITUTE(TRIM(Base_Original!D255),"anos",""))</f>
        <v>60</v>
      </c>
      <c r="H255" s="50">
        <f>IF($J255="","Vazio",DATEDIF($J255,DATE(2026,9,10),"Y"))</f>
        <v>60</v>
      </c>
      <c r="I25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55" s="33">
        <v>24272</v>
      </c>
      <c r="K255" s="42" t="s">
        <v>275</v>
      </c>
      <c r="L255" s="42" t="str">
        <f>PROPER(Base_Original!G255)</f>
        <v>Campina</v>
      </c>
      <c r="M255" s="43">
        <v>17300</v>
      </c>
      <c r="N255" s="43">
        <f>IF(ISNUMBER(Base_Original!I255),Base_Original!I255,IF(RIGHT(Base_Original!I255,7)=" moedas",VALUE(LEFT(Base_Original!I255,LEN(Base_Original!I255)-7)),Base_Original!I255))</f>
        <v>15000</v>
      </c>
      <c r="O255" s="44" t="str">
        <f>IF(AND($N255&gt;50000,$Q255="Sim"),"Negada","Aprovada")</f>
        <v>Aprovada</v>
      </c>
      <c r="P255" s="45">
        <f>IF(AND($T255="Negada",$O255="Negada"),0,IF($B255="Ativo",$U255*8%,"0"))</f>
        <v>5520</v>
      </c>
      <c r="Q255" s="46" t="str">
        <f>IF(OR(Base_Original!J255="Sim",Base_Original!J255="sim",Base_Original!J255="SIM"),"Sim",IF(OR(Base_Original!J255="Não",Base_Original!J255="não",Base_Original!J255="NÃO",Base_Original!J255="Nao"),"Não",IF(Base_Original!J255="","vazio",Base_Original!J255)))</f>
        <v>Não</v>
      </c>
      <c r="R255" s="46">
        <f>IF(ISNUMBER(Base_Original!K255),Base_Original!K255,IF(RIGHT(Base_Original!K255,9)=" batalhas",VALUE(LEFT(Base_Original!K255,LEN(Base_Original!K255)-9)),Base_Original!K255))</f>
        <v>17</v>
      </c>
      <c r="S255" s="42" t="str">
        <f>IF($R255="vazio","vazio",IF($R255&lt;=10,"Baixo",IF($R255&lt;=25,"Médio","Alto")))</f>
        <v>Médio</v>
      </c>
      <c r="T255" s="42" t="str">
        <f>IF(AND($S255="Alto",$Q255="Sim"),"Negada","Aprovada")</f>
        <v>Aprovada</v>
      </c>
      <c r="U255" s="43">
        <v>69000</v>
      </c>
    </row>
    <row r="256" spans="1:21">
      <c r="A256" s="47" t="s">
        <v>1110</v>
      </c>
      <c r="B256" s="37" t="str">
        <f>IF(Base_Original!A256="","vazio",IF(Base_Original!A256="ATIVO","Ativo",IF(Base_Original!A256="INATIVO","Inativo",Base_Original!A256)))</f>
        <v>Inativo</v>
      </c>
      <c r="C256" s="37" t="str">
        <f>PROPER(Base_Original!B256)</f>
        <v>Rhaegar Stark</v>
      </c>
      <c r="D256" s="38" t="s">
        <v>563</v>
      </c>
      <c r="E256" s="39" t="str">
        <f>IF($D256="","Vazio",IF(LEN(SUBSTITUTE(SUBSTITUTE($D256&amp;"",".",""),"-",""))&lt;&gt;11,"Inválido","OK"))</f>
        <v>OK</v>
      </c>
      <c r="F256" s="39" t="str">
        <f>IF($D256="","Vazio",IF(COUNTIF($D$2:$D$369,$D256)&gt;1,"Duplicado","Único"))</f>
        <v>Único</v>
      </c>
      <c r="G256" s="40" t="str">
        <f>IF(TRIM(Base_Original!D256)="","",SUBSTITUTE(TRIM(Base_Original!D256),"anos",""))</f>
        <v>33</v>
      </c>
      <c r="H256" s="50">
        <f>IF($J256="","Vazio",DATEDIF($J256,DATE(2026,9,10),"Y"))</f>
        <v>33</v>
      </c>
      <c r="I25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56" s="33">
        <v>34082</v>
      </c>
      <c r="K256" s="42" t="s">
        <v>30</v>
      </c>
      <c r="L256" s="42" t="str">
        <f>PROPER(Base_Original!G256)</f>
        <v>Essos</v>
      </c>
      <c r="M256" s="43">
        <v>23600</v>
      </c>
      <c r="N256" s="43">
        <f>IF(ISNUMBER(Base_Original!I256),Base_Original!I256,IF(RIGHT(Base_Original!I256,7)=" moedas",VALUE(LEFT(Base_Original!I256,LEN(Base_Original!I256)-7)),Base_Original!I256))</f>
        <v>75500</v>
      </c>
      <c r="O256" s="44" t="str">
        <f>IF(AND($N256&gt;50000,$Q256="Sim"),"Negada","Aprovada")</f>
        <v>Aprovada</v>
      </c>
      <c r="P256" s="45" t="str">
        <f>IF(AND($T256="Negada",$O256="Negada"),0,IF($B256="Ativo",$U256*8%,"0"))</f>
        <v>0</v>
      </c>
      <c r="Q256" s="46" t="str">
        <f>IF(OR(Base_Original!J256="Sim",Base_Original!J256="sim",Base_Original!J256="SIM"),"Sim",IF(OR(Base_Original!J256="Não",Base_Original!J256="não",Base_Original!J256="NÃO",Base_Original!J256="Nao"),"Não",IF(Base_Original!J256="","vazio",Base_Original!J256)))</f>
        <v>Não</v>
      </c>
      <c r="R256" s="46">
        <f>IF(ISNUMBER(Base_Original!K256),Base_Original!K256,IF(RIGHT(Base_Original!K256,9)=" batalhas",VALUE(LEFT(Base_Original!K256,LEN(Base_Original!K256)-9)),Base_Original!K256))</f>
        <v>16</v>
      </c>
      <c r="S256" s="42" t="str">
        <f>IF($R256="vazio","vazio",IF($R256&lt;=10,"Baixo",IF($R256&lt;=25,"Médio","Alto")))</f>
        <v>Médio</v>
      </c>
      <c r="T256" s="42" t="str">
        <f>IF(AND($S256="Alto",$Q256="Sim"),"Negada","Aprovada")</f>
        <v>Aprovada</v>
      </c>
      <c r="U256" s="43">
        <v>88000</v>
      </c>
    </row>
    <row r="257" spans="1:21">
      <c r="A257" s="47" t="s">
        <v>1111</v>
      </c>
      <c r="B257" s="37" t="str">
        <f>IF(Base_Original!A257="","vazio",IF(Base_Original!A257="ATIVO","Ativo",IF(Base_Original!A257="INATIVO","Inativo",Base_Original!A257)))</f>
        <v>Ativo</v>
      </c>
      <c r="C257" s="37" t="str">
        <f>PROPER(Base_Original!B257)</f>
        <v>Rhaegar Tallhart</v>
      </c>
      <c r="D257" s="38">
        <v>34800</v>
      </c>
      <c r="E257" s="39" t="str">
        <f>IF($D257="","Vazio",IF(LEN(SUBSTITUTE(SUBSTITUTE($D257&amp;"",".",""),"-",""))&lt;&gt;11,"Inválido","OK"))</f>
        <v>Inválido</v>
      </c>
      <c r="F257" s="39" t="str">
        <f>IF($D257="","Vazio",IF(COUNTIF($D$2:$D$369,$D257)&gt;1,"Duplicado","Único"))</f>
        <v>Único</v>
      </c>
      <c r="G257" s="40" t="str">
        <f>IF(TRIM(Base_Original!D257)="","",SUBSTITUTE(TRIM(Base_Original!D257),"anos",""))</f>
        <v>26</v>
      </c>
      <c r="H257" s="50">
        <f>IF($J257="","Vazio",DATEDIF($J257,DATE(2026,9,10),"Y"))</f>
        <v>26</v>
      </c>
      <c r="I25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57" s="33">
        <v>36596</v>
      </c>
      <c r="K257" s="42" t="s">
        <v>75</v>
      </c>
      <c r="L257" s="42" t="str">
        <f>PROPER(Base_Original!G257)</f>
        <v>Norte</v>
      </c>
      <c r="M257" s="43">
        <v>3500</v>
      </c>
      <c r="N257" s="43">
        <f>IF(ISNUMBER(Base_Original!I257),Base_Original!I257,IF(RIGHT(Base_Original!I257,7)=" moedas",VALUE(LEFT(Base_Original!I257,LEN(Base_Original!I257)-7)),Base_Original!I257))</f>
        <v>50000</v>
      </c>
      <c r="O257" s="44" t="str">
        <f>IF(AND($N257&gt;50000,$Q257="Sim"),"Negada","Aprovada")</f>
        <v>Aprovada</v>
      </c>
      <c r="P257" s="45">
        <f>IF(AND($T257="Negada",$O257="Negada"),0,IF($B257="Ativo",$U257*8%,"0"))</f>
        <v>3720</v>
      </c>
      <c r="Q257" s="46">
        <f>IF(OR(Base_Original!J257="Sim",Base_Original!J257="sim",Base_Original!J257="SIM"),"Sim",IF(OR(Base_Original!J257="Não",Base_Original!J257="não",Base_Original!J257="NÃO",Base_Original!J257="Nao"),"Não",IF(Base_Original!J257="","vazio",Base_Original!J257)))</f>
        <v>0</v>
      </c>
      <c r="R257" s="46">
        <f>IF(ISNUMBER(Base_Original!K257),Base_Original!K257,IF(RIGHT(Base_Original!K257,9)=" batalhas",VALUE(LEFT(Base_Original!K257,LEN(Base_Original!K257)-9)),Base_Original!K257))</f>
        <v>40</v>
      </c>
      <c r="S257" s="42" t="str">
        <f>IF($R257="vazio","vazio",IF($R257&lt;=10,"Baixo",IF($R257&lt;=25,"Médio","Alto")))</f>
        <v>Alto</v>
      </c>
      <c r="T257" s="42" t="str">
        <f>IF(AND($S257="Alto",$Q257="Sim"),"Negada","Aprovada")</f>
        <v>Aprovada</v>
      </c>
      <c r="U257" s="43">
        <v>46500</v>
      </c>
    </row>
    <row r="258" spans="1:21">
      <c r="A258" s="47" t="s">
        <v>1112</v>
      </c>
      <c r="B258" s="37" t="str">
        <f>IF(Base_Original!A258="","vazio",IF(Base_Original!A258="ATIVO","Ativo",IF(Base_Original!A258="INATIVO","Inativo",Base_Original!A258)))</f>
        <v>Ativo</v>
      </c>
      <c r="C258" s="37" t="str">
        <f>PROPER(Base_Original!B258)</f>
        <v>Rhaegar Targaryen</v>
      </c>
      <c r="D258" s="38" t="s">
        <v>566</v>
      </c>
      <c r="E258" s="39" t="str">
        <f>IF($D258="","Vazio",IF(LEN(SUBSTITUTE(SUBSTITUTE($D258&amp;"",".",""),"-",""))&lt;&gt;11,"Inválido","OK"))</f>
        <v>OK</v>
      </c>
      <c r="F258" s="39" t="str">
        <f>IF($D258="","Vazio",IF(COUNTIF($D$2:$D$369,$D258)&gt;1,"Duplicado","Único"))</f>
        <v>Único</v>
      </c>
      <c r="G258" s="40" t="str">
        <f>IF(TRIM(Base_Original!D258)="","",SUBSTITUTE(TRIM(Base_Original!D258),"anos",""))</f>
        <v>51</v>
      </c>
      <c r="H258" s="50">
        <f>IF($J258="","Vazio",DATEDIF($J258,DATE(2026,9,10),"Y"))</f>
        <v>51</v>
      </c>
      <c r="I25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58" s="33">
        <v>27413</v>
      </c>
      <c r="K258" s="42" t="s">
        <v>99</v>
      </c>
      <c r="L258" s="42" t="str">
        <f>PROPER(Base_Original!G258)</f>
        <v>Norte</v>
      </c>
      <c r="M258" s="43">
        <v>18500</v>
      </c>
      <c r="N258" s="43">
        <f>IF(ISNUMBER(Base_Original!I258),Base_Original!I258,IF(RIGHT(Base_Original!I258,7)=" moedas",VALUE(LEFT(Base_Original!I258,LEN(Base_Original!I258)-7)),Base_Original!I258))</f>
        <v>69500</v>
      </c>
      <c r="O258" s="44" t="str">
        <f>IF(AND($N258&gt;50000,$Q258="Sim"),"Negada","Aprovada")</f>
        <v>Aprovada</v>
      </c>
      <c r="P258" s="45">
        <f>IF(AND($T258="Negada",$O258="Negada"),0,IF($B258="Ativo",$U258*8%,"0"))</f>
        <v>1440</v>
      </c>
      <c r="Q258" s="46" t="str">
        <f>IF(OR(Base_Original!J258="Sim",Base_Original!J258="sim",Base_Original!J258="SIM"),"Sim",IF(OR(Base_Original!J258="Não",Base_Original!J258="não",Base_Original!J258="NÃO",Base_Original!J258="Nao"),"Não",IF(Base_Original!J258="","vazio",Base_Original!J258)))</f>
        <v>Não</v>
      </c>
      <c r="R258" s="46">
        <f>IF(ISNUMBER(Base_Original!K258),Base_Original!K258,IF(RIGHT(Base_Original!K258,9)=" batalhas",VALUE(LEFT(Base_Original!K258,LEN(Base_Original!K258)-9)),Base_Original!K258))</f>
        <v>31</v>
      </c>
      <c r="S258" s="42" t="str">
        <f>IF($R258="vazio","vazio",IF($R258&lt;=10,"Baixo",IF($R258&lt;=25,"Médio","Alto")))</f>
        <v>Alto</v>
      </c>
      <c r="T258" s="42" t="str">
        <f>IF(AND($S258="Alto",$Q258="Sim"),"Negada","Aprovada")</f>
        <v>Aprovada</v>
      </c>
      <c r="U258" s="43">
        <v>18000</v>
      </c>
    </row>
    <row r="259" spans="1:21">
      <c r="A259" s="47" t="s">
        <v>1113</v>
      </c>
      <c r="B259" s="37" t="str">
        <f>IF(Base_Original!A259="","vazio",IF(Base_Original!A259="ATIVO","Ativo",IF(Base_Original!A259="INATIVO","Inativo",Base_Original!A259)))</f>
        <v>Ativo</v>
      </c>
      <c r="C259" s="37" t="str">
        <f>PROPER(Base_Original!B259)</f>
        <v>Rhaegar Umber</v>
      </c>
      <c r="D259" s="38" t="s">
        <v>569</v>
      </c>
      <c r="E259" s="39" t="str">
        <f>IF($D259="","Vazio",IF(LEN(SUBSTITUTE(SUBSTITUTE($D259&amp;"",".",""),"-",""))&lt;&gt;11,"Inválido","OK"))</f>
        <v>OK</v>
      </c>
      <c r="F259" s="39" t="str">
        <f>IF($D259="","Vazio",IF(COUNTIF($D$2:$D$369,$D259)&gt;1,"Duplicado","Único"))</f>
        <v>Único</v>
      </c>
      <c r="G259" s="40" t="str">
        <f>IF(TRIM(Base_Original!D259)="","",SUBSTITUTE(TRIM(Base_Original!D259),"anos",""))</f>
        <v>19</v>
      </c>
      <c r="H259" s="50">
        <f>IF($J259="","Vazio",DATEDIF($J259,DATE(2026,9,10),"Y"))</f>
        <v>19</v>
      </c>
      <c r="I25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59" s="33">
        <v>39220</v>
      </c>
      <c r="K259" s="42" t="s">
        <v>101</v>
      </c>
      <c r="L259" s="42" t="str">
        <f>PROPER(Base_Original!G259)</f>
        <v>Campina</v>
      </c>
      <c r="M259" s="43">
        <v>18000</v>
      </c>
      <c r="N259" s="43">
        <f>IF(ISNUMBER(Base_Original!I259),Base_Original!I259,IF(RIGHT(Base_Original!I259,7)=" moedas",VALUE(LEFT(Base_Original!I259,LEN(Base_Original!I259)-7)),Base_Original!I259))</f>
        <v>50500</v>
      </c>
      <c r="O259" s="44" t="str">
        <f>IF(AND($N259&gt;50000,$Q259="Sim"),"Negada","Aprovada")</f>
        <v>Negada</v>
      </c>
      <c r="P259" s="45">
        <f>IF(AND($T259="Negada",$O259="Negada"),0,IF($B259="Ativo",$U259*8%,"0"))</f>
        <v>2080</v>
      </c>
      <c r="Q259" s="46" t="str">
        <f>IF(OR(Base_Original!J259="Sim",Base_Original!J259="sim",Base_Original!J259="SIM"),"Sim",IF(OR(Base_Original!J259="Não",Base_Original!J259="não",Base_Original!J259="NÃO",Base_Original!J259="Nao"),"Não",IF(Base_Original!J259="","vazio",Base_Original!J259)))</f>
        <v>Sim</v>
      </c>
      <c r="R259" s="46">
        <f>IF(ISNUMBER(Base_Original!K259),Base_Original!K259,IF(RIGHT(Base_Original!K259,9)=" batalhas",VALUE(LEFT(Base_Original!K259,LEN(Base_Original!K259)-9)),Base_Original!K259))</f>
        <v>11</v>
      </c>
      <c r="S259" s="42" t="str">
        <f>IF($R259="vazio","vazio",IF($R259&lt;=10,"Baixo",IF($R259&lt;=25,"Médio","Alto")))</f>
        <v>Médio</v>
      </c>
      <c r="T259" s="42" t="str">
        <f>IF(AND($S259="Alto",$Q259="Sim"),"Negada","Aprovada")</f>
        <v>Aprovada</v>
      </c>
      <c r="U259" s="43">
        <v>26000</v>
      </c>
    </row>
    <row r="260" spans="1:21">
      <c r="A260" s="47" t="s">
        <v>1114</v>
      </c>
      <c r="B260" s="37" t="str">
        <f>IF(Base_Original!A260="","vazio",IF(Base_Original!A260="ATIVO","Ativo",IF(Base_Original!A260="INATIVO","Inativo",Base_Original!A260)))</f>
        <v>Ativo</v>
      </c>
      <c r="C260" s="37" t="str">
        <f>PROPER(Base_Original!B260)</f>
        <v>Rickon Crakehall</v>
      </c>
      <c r="D260" s="38" t="s">
        <v>571</v>
      </c>
      <c r="E260" s="39" t="str">
        <f>IF($D260="","Vazio",IF(LEN(SUBSTITUTE(SUBSTITUTE($D260&amp;"",".",""),"-",""))&lt;&gt;11,"Inválido","OK"))</f>
        <v>OK</v>
      </c>
      <c r="F260" s="39" t="str">
        <f>IF($D260="","Vazio",IF(COUNTIF($D$2:$D$369,$D260)&gt;1,"Duplicado","Único"))</f>
        <v>Único</v>
      </c>
      <c r="G260" s="40" t="str">
        <f>IF(TRIM(Base_Original!D260)="","",SUBSTITUTE(TRIM(Base_Original!D260),"anos",""))</f>
        <v>24</v>
      </c>
      <c r="H260" s="50">
        <f>IF($J260="","Vazio",DATEDIF($J260,DATE(2026,9,10),"Y"))</f>
        <v>24</v>
      </c>
      <c r="I26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60" s="33">
        <v>37435</v>
      </c>
      <c r="K260" s="42" t="s">
        <v>150</v>
      </c>
      <c r="L260" s="42" t="str">
        <f>PROPER(Base_Original!G260)</f>
        <v>Gargalo</v>
      </c>
      <c r="M260" s="43">
        <v>6100</v>
      </c>
      <c r="N260" s="43" t="s">
        <v>880</v>
      </c>
      <c r="O260" s="44" t="str">
        <f>IF(AND($N260&gt;50000,$Q260="Sim"),"Negada","Aprovada")</f>
        <v>Aprovada</v>
      </c>
      <c r="P260" s="45">
        <f>IF(AND($T260="Negada",$O260="Negada"),0,IF($B260="Ativo",$U260*8%,"0"))</f>
        <v>5360</v>
      </c>
      <c r="Q260" s="46" t="str">
        <f>IF(OR(Base_Original!J260="Sim",Base_Original!J260="sim",Base_Original!J260="SIM"),"Sim",IF(OR(Base_Original!J260="Não",Base_Original!J260="não",Base_Original!J260="NÃO",Base_Original!J260="Nao"),"Não",IF(Base_Original!J260="","vazio",Base_Original!J260)))</f>
        <v>Não</v>
      </c>
      <c r="R260" s="46">
        <f>IF(ISNUMBER(Base_Original!K260),Base_Original!K260,IF(RIGHT(Base_Original!K260,9)=" batalhas",VALUE(LEFT(Base_Original!K260,LEN(Base_Original!K260)-9)),Base_Original!K260))</f>
        <v>15</v>
      </c>
      <c r="S260" s="42" t="str">
        <f>IF($R260="vazio","vazio",IF($R260&lt;=10,"Baixo",IF($R260&lt;=25,"Médio","Alto")))</f>
        <v>Médio</v>
      </c>
      <c r="T260" s="42" t="str">
        <f>IF(AND($S260="Alto",$Q260="Sim"),"Negada","Aprovada")</f>
        <v>Aprovada</v>
      </c>
      <c r="U260" s="43">
        <v>67000</v>
      </c>
    </row>
    <row r="261" spans="1:21">
      <c r="A261" s="47" t="s">
        <v>1115</v>
      </c>
      <c r="B261" s="37" t="str">
        <f>IF(Base_Original!A261="","vazio",IF(Base_Original!A261="ATIVO","Ativo",IF(Base_Original!A261="INATIVO","Inativo",Base_Original!A261)))</f>
        <v>Ativo</v>
      </c>
      <c r="C261" s="37" t="str">
        <f>PROPER(Base_Original!B261)</f>
        <v>Rickon Frey</v>
      </c>
      <c r="D261" s="38" t="s">
        <v>573</v>
      </c>
      <c r="E261" s="39" t="str">
        <f>IF($D261="","Vazio",IF(LEN(SUBSTITUTE(SUBSTITUTE($D261&amp;"",".",""),"-",""))&lt;&gt;11,"Inválido","OK"))</f>
        <v>OK</v>
      </c>
      <c r="F261" s="39" t="str">
        <f>IF($D261="","Vazio",IF(COUNTIF($D$2:$D$369,$D261)&gt;1,"Duplicado","Único"))</f>
        <v>Único</v>
      </c>
      <c r="G261" s="40" t="str">
        <f>IF(TRIM(Base_Original!D261)="","",SUBSTITUTE(TRIM(Base_Original!D261),"anos",""))</f>
        <v>60</v>
      </c>
      <c r="H261" s="50">
        <f>IF($J261="","Vazio",DATEDIF($J261,DATE(2026,9,10),"Y"))</f>
        <v>60</v>
      </c>
      <c r="I26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61" s="33">
        <v>24202</v>
      </c>
      <c r="K261" s="42" t="s">
        <v>37</v>
      </c>
      <c r="L261" s="42" t="str">
        <f>PROPER(Base_Original!G261)</f>
        <v>Terras Da Tempestade</v>
      </c>
      <c r="M261" s="43">
        <v>5500</v>
      </c>
      <c r="N261" s="43">
        <f>IF(ISNUMBER(Base_Original!I261),Base_Original!I261,IF(RIGHT(Base_Original!I261,7)=" moedas",VALUE(LEFT(Base_Original!I261,LEN(Base_Original!I261)-7)),Base_Original!I261))</f>
        <v>0</v>
      </c>
      <c r="O261" s="44" t="str">
        <f>IF(AND($N261&gt;50000,$Q261="Sim"),"Negada","Aprovada")</f>
        <v>Aprovada</v>
      </c>
      <c r="P261" s="45">
        <f>IF(AND($T261="Negada",$O261="Negada"),0,IF($B261="Ativo",$U261*8%,"0"))</f>
        <v>4200</v>
      </c>
      <c r="Q261" s="46" t="str">
        <f>IF(OR(Base_Original!J261="Sim",Base_Original!J261="sim",Base_Original!J261="SIM"),"Sim",IF(OR(Base_Original!J261="Não",Base_Original!J261="não",Base_Original!J261="NÃO",Base_Original!J261="Nao"),"Não",IF(Base_Original!J261="","vazio",Base_Original!J261)))</f>
        <v>Não</v>
      </c>
      <c r="R261" s="46">
        <f>IF(ISNUMBER(Base_Original!K261),Base_Original!K261,IF(RIGHT(Base_Original!K261,9)=" batalhas",VALUE(LEFT(Base_Original!K261,LEN(Base_Original!K261)-9)),Base_Original!K261))</f>
        <v>26</v>
      </c>
      <c r="S261" s="42" t="str">
        <f>IF($R261="vazio","vazio",IF($R261&lt;=10,"Baixo",IF($R261&lt;=25,"Médio","Alto")))</f>
        <v>Alto</v>
      </c>
      <c r="T261" s="42" t="str">
        <f>IF(AND($S261="Alto",$Q261="Sim"),"Negada","Aprovada")</f>
        <v>Aprovada</v>
      </c>
      <c r="U261" s="43">
        <v>52500</v>
      </c>
    </row>
    <row r="262" spans="1:21">
      <c r="A262" s="47" t="s">
        <v>1116</v>
      </c>
      <c r="B262" s="37" t="str">
        <f>IF(Base_Original!A262="","vazio",IF(Base_Original!A262="ATIVO","Ativo",IF(Base_Original!A262="INATIVO","Inativo",Base_Original!A262)))</f>
        <v>Ativo</v>
      </c>
      <c r="C262" s="37" t="str">
        <f>PROPER(Base_Original!B262)</f>
        <v>Rickon Karstark</v>
      </c>
      <c r="D262" s="38">
        <v>8900</v>
      </c>
      <c r="E262" s="39" t="str">
        <f>IF($D262="","Vazio",IF(LEN(SUBSTITUTE(SUBSTITUTE($D262&amp;"",".",""),"-",""))&lt;&gt;11,"Inválido","OK"))</f>
        <v>Inválido</v>
      </c>
      <c r="F262" s="39" t="str">
        <f>IF($D262="","Vazio",IF(COUNTIF($D$2:$D$369,$D262)&gt;1,"Duplicado","Único"))</f>
        <v>Único</v>
      </c>
      <c r="G262" s="40" t="str">
        <f>IF(TRIM(Base_Original!D262)="","",SUBSTITUTE(TRIM(Base_Original!D262),"anos",""))</f>
        <v>26</v>
      </c>
      <c r="H262" s="50">
        <f>IF($J262="","Vazio",DATEDIF($J262,DATE(2026,9,10),"Y"))</f>
        <v>26</v>
      </c>
      <c r="I26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62" s="33">
        <v>36573</v>
      </c>
      <c r="K262" s="42" t="s">
        <v>150</v>
      </c>
      <c r="L262" s="42" t="str">
        <f>PROPER(Base_Original!G264)</f>
        <v>Norte</v>
      </c>
      <c r="M262" s="43">
        <v>4800</v>
      </c>
      <c r="N262" s="43">
        <f>IF(ISNUMBER(Base_Original!I262),Base_Original!I262,IF(RIGHT(Base_Original!I262,7)=" moedas",VALUE(LEFT(Base_Original!I262,LEN(Base_Original!I262)-7)),Base_Original!I262))</f>
        <v>48500</v>
      </c>
      <c r="O262" s="44" t="str">
        <f>IF(AND($N262&gt;50000,$Q262="Sim"),"Negada","Aprovada")</f>
        <v>Aprovada</v>
      </c>
      <c r="P262" s="45">
        <f>IF(AND($T262="Negada",$O262="Negada"),0,IF($B262="Ativo",$U262*8%,"0"))</f>
        <v>4800</v>
      </c>
      <c r="Q262" s="46" t="str">
        <f>IF(OR(Base_Original!J262="Sim",Base_Original!J262="sim",Base_Original!J262="SIM"),"Sim",IF(OR(Base_Original!J262="Não",Base_Original!J262="não",Base_Original!J262="NÃO",Base_Original!J262="Nao"),"Não",IF(Base_Original!J262="","vazio",Base_Original!J262)))</f>
        <v>Sim</v>
      </c>
      <c r="R262" s="46">
        <f>IF(ISNUMBER(Base_Original!K262),Base_Original!K262,IF(RIGHT(Base_Original!K262,9)=" batalhas",VALUE(LEFT(Base_Original!K262,LEN(Base_Original!K262)-9)),Base_Original!K262))</f>
        <v>6</v>
      </c>
      <c r="S262" s="42" t="str">
        <f>IF($R262="vazio","vazio",IF($R262&lt;=10,"Baixo",IF($R262&lt;=25,"Médio","Alto")))</f>
        <v>Baixo</v>
      </c>
      <c r="T262" s="42" t="str">
        <f>IF(AND($S262="Alto",$Q262="Sim"),"Negada","Aprovada")</f>
        <v>Aprovada</v>
      </c>
      <c r="U262" s="43">
        <v>60000</v>
      </c>
    </row>
    <row r="263" spans="1:21">
      <c r="A263" s="47" t="s">
        <v>1117</v>
      </c>
      <c r="B263" s="37" t="str">
        <f>IF(Base_Original!A264="","vazio",IF(Base_Original!A264="ATIVO","Ativo",IF(Base_Original!A264="INATIVO","Inativo",Base_Original!A264)))</f>
        <v>Ativo</v>
      </c>
      <c r="C263" s="37" t="str">
        <f>PROPER(Base_Original!B264)</f>
        <v>Rickon Karstark</v>
      </c>
      <c r="D263" s="38">
        <v>36000</v>
      </c>
      <c r="E263" s="39" t="str">
        <f>IF($D263="","Vazio",IF(LEN(SUBSTITUTE(SUBSTITUTE($D263&amp;"",".",""),"-",""))&lt;&gt;11,"Inválido","OK"))</f>
        <v>Inválido</v>
      </c>
      <c r="F263" s="39" t="str">
        <f>IF($D263="","Vazio",IF(COUNTIF($D$2:$D$369,$D263)&gt;1,"Duplicado","Único"))</f>
        <v>Único</v>
      </c>
      <c r="G263" s="40" t="str">
        <f>IF(TRIM(Base_Original!D263)="","",SUBSTITUTE(TRIM(Base_Original!D263),"anos",""))</f>
        <v/>
      </c>
      <c r="H263" s="50">
        <f>IF($J263="","Vazio",DATEDIF($J263,DATE(2026,9,10),"Y"))</f>
        <v>35</v>
      </c>
      <c r="I26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263" s="33">
        <v>33473</v>
      </c>
      <c r="K263" s="42" t="s">
        <v>188</v>
      </c>
      <c r="L263" s="42" t="str">
        <f>PROPER(Base_Original!G262)</f>
        <v/>
      </c>
      <c r="M263" s="43">
        <v>24000</v>
      </c>
      <c r="N263" s="43">
        <f>IF(ISNUMBER(Base_Original!I264),Base_Original!I264,IF(RIGHT(Base_Original!I264,7)=" moedas",VALUE(LEFT(Base_Original!I264,LEN(Base_Original!I264)-7)),Base_Original!I264))</f>
        <v>1000</v>
      </c>
      <c r="O263" s="44" t="str">
        <f>IF(AND($N263&gt;50000,$Q263="Sim"),"Negada","Aprovada")</f>
        <v>Aprovada</v>
      </c>
      <c r="P263" s="45">
        <f>IF(AND($T263="Negada",$O263="Negada"),0,IF($B263="Ativo",$U263*8%,"0"))</f>
        <v>4520</v>
      </c>
      <c r="Q263" s="46" t="str">
        <f>IF(OR(Base_Original!J264="Sim",Base_Original!J264="sim",Base_Original!J264="SIM"),"Sim",IF(OR(Base_Original!J264="Não",Base_Original!J264="não",Base_Original!J264="NÃO",Base_Original!J264="Nao"),"Não",IF(Base_Original!J264="","vazio",Base_Original!J264)))</f>
        <v>Não</v>
      </c>
      <c r="R263" s="46">
        <f>IF(ISNUMBER(Base_Original!K264),Base_Original!K264,IF(RIGHT(Base_Original!K264,9)=" batalhas",VALUE(LEFT(Base_Original!K264,LEN(Base_Original!K264)-9)),Base_Original!K264))</f>
        <v>3</v>
      </c>
      <c r="S263" s="42" t="str">
        <f>IF($R263="vazio","vazio",IF($R263&lt;=10,"Baixo",IF($R263&lt;=25,"Médio","Alto")))</f>
        <v>Baixo</v>
      </c>
      <c r="T263" s="42" t="str">
        <f>IF(AND($S263="Alto",$Q263="Sim"),"Negada","Aprovada")</f>
        <v>Aprovada</v>
      </c>
      <c r="U263" s="43">
        <v>56500</v>
      </c>
    </row>
    <row r="264" spans="1:21">
      <c r="A264" s="47" t="s">
        <v>1118</v>
      </c>
      <c r="B264" s="37" t="str">
        <f>IF(Base_Original!A263="","vazio",IF(Base_Original!A263="ATIVO","Ativo",IF(Base_Original!A263="INATIVO","Inativo",Base_Original!A263)))</f>
        <v>Ativo</v>
      </c>
      <c r="C264" s="37" t="str">
        <f>PROPER(Base_Original!B263)</f>
        <v>Rickon Karstark</v>
      </c>
      <c r="D264" s="38" t="s">
        <v>576</v>
      </c>
      <c r="E264" s="39" t="str">
        <f>IF($D264="","Vazio",IF(LEN(SUBSTITUTE(SUBSTITUTE($D264&amp;"",".",""),"-",""))&lt;&gt;11,"Inválido","OK"))</f>
        <v>OK</v>
      </c>
      <c r="F264" s="39" t="str">
        <f>IF($D264="","Vazio",IF(COUNTIF($D$2:$D$369,$D264)&gt;1,"Duplicado","Único"))</f>
        <v>Único</v>
      </c>
      <c r="G264" s="40" t="str">
        <f>IF(TRIM(Base_Original!D264)="","",SUBSTITUTE(TRIM(Base_Original!D264),"anos",""))</f>
        <v>74</v>
      </c>
      <c r="H264" s="50">
        <f>IF($J264="","Vazio",DATEDIF($J264,DATE(2026,9,10),"Y"))</f>
        <v>74</v>
      </c>
      <c r="I26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64" s="33">
        <v>19121</v>
      </c>
      <c r="K264" s="42" t="s">
        <v>40</v>
      </c>
      <c r="L264" s="42" t="str">
        <f>PROPER(Base_Original!G263)</f>
        <v>Gargalo</v>
      </c>
      <c r="M264" s="43">
        <v>7300</v>
      </c>
      <c r="N264" s="43">
        <f>IF(ISNUMBER(Base_Original!I263),Base_Original!I263,IF(RIGHT(Base_Original!I263,7)=" moedas",VALUE(LEFT(Base_Original!I263,LEN(Base_Original!I263)-7)),Base_Original!I263))</f>
        <v>0</v>
      </c>
      <c r="O264" s="44" t="str">
        <f>IF(AND($N264&gt;50000,$Q264="Sim"),"Negada","Aprovada")</f>
        <v>Aprovada</v>
      </c>
      <c r="P264" s="45">
        <f>IF(AND($T264="Negada",$O264="Negada"),0,IF($B264="Ativo",$U264*8%,"0"))</f>
        <v>4040</v>
      </c>
      <c r="Q264" s="46" t="str">
        <f>IF(OR(Base_Original!J263="Sim",Base_Original!J263="sim",Base_Original!J263="SIM"),"Sim",IF(OR(Base_Original!J263="Não",Base_Original!J263="não",Base_Original!J263="NÃO",Base_Original!J263="Nao"),"Não",IF(Base_Original!J263="","vazio",Base_Original!J263)))</f>
        <v>Sim</v>
      </c>
      <c r="R264" s="46">
        <f>IF(ISNUMBER(Base_Original!K263),Base_Original!K263,IF(RIGHT(Base_Original!K263,9)=" batalhas",VALUE(LEFT(Base_Original!K263,LEN(Base_Original!K263)-9)),Base_Original!K263))</f>
        <v>3</v>
      </c>
      <c r="S264" s="42" t="str">
        <f>IF($R264="vazio","vazio",IF($R264&lt;=10,"Baixo",IF($R264&lt;=25,"Médio","Alto")))</f>
        <v>Baixo</v>
      </c>
      <c r="T264" s="42" t="str">
        <f>IF(AND($S264="Alto",$Q264="Sim"),"Negada","Aprovada")</f>
        <v>Aprovada</v>
      </c>
      <c r="U264" s="43">
        <v>50500</v>
      </c>
    </row>
    <row r="265" spans="1:21">
      <c r="A265" s="47" t="s">
        <v>1119</v>
      </c>
      <c r="B265" s="37" t="str">
        <f>IF(Base_Original!A265="","vazio",IF(Base_Original!A265="ATIVO","Ativo",IF(Base_Original!A265="INATIVO","Inativo",Base_Original!A265)))</f>
        <v>Ativo</v>
      </c>
      <c r="C265" s="37" t="str">
        <f>PROPER(Base_Original!B265)</f>
        <v>Rickon Lannister</v>
      </c>
      <c r="D265" s="38" t="s">
        <v>578</v>
      </c>
      <c r="E265" s="39" t="str">
        <f>IF($D265="","Vazio",IF(LEN(SUBSTITUTE(SUBSTITUTE($D265&amp;"",".",""),"-",""))&lt;&gt;11,"Inválido","OK"))</f>
        <v>OK</v>
      </c>
      <c r="F265" s="39" t="str">
        <f>IF($D265="","Vazio",IF(COUNTIF($D$2:$D$369,$D265)&gt;1,"Duplicado","Único"))</f>
        <v>Único</v>
      </c>
      <c r="G265" s="40" t="str">
        <f>IF(TRIM(Base_Original!D265)="","",SUBSTITUTE(TRIM(Base_Original!D265),"anos",""))</f>
        <v>53</v>
      </c>
      <c r="H265" s="50">
        <f>IF($J265="","Vazio",DATEDIF($J265,DATE(2026,9,10),"Y"))</f>
        <v>53</v>
      </c>
      <c r="I26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65" s="33">
        <v>26898</v>
      </c>
      <c r="K265" s="42" t="s">
        <v>99</v>
      </c>
      <c r="L265" s="42" t="str">
        <f>PROPER(Base_Original!G265)</f>
        <v>Norte</v>
      </c>
      <c r="M265" s="43">
        <v>27100</v>
      </c>
      <c r="N265" s="43">
        <f>IF(ISNUMBER(Base_Original!I265),Base_Original!I265,IF(RIGHT(Base_Original!I265,7)=" moedas",VALUE(LEFT(Base_Original!I265,LEN(Base_Original!I265)-7)),Base_Original!I265))</f>
        <v>68000</v>
      </c>
      <c r="O265" s="44" t="str">
        <f>IF(AND($N265&gt;50000,$Q265="Sim"),"Negada","Aprovada")</f>
        <v>Aprovada</v>
      </c>
      <c r="P265" s="45">
        <f>IF(AND($T265="Negada",$O265="Negada"),0,IF($B265="Ativo",$U265*8%,"0"))</f>
        <v>3960</v>
      </c>
      <c r="Q265" s="46" t="str">
        <f>IF(OR(Base_Original!J265="Sim",Base_Original!J265="sim",Base_Original!J265="SIM"),"Sim",IF(OR(Base_Original!J265="Não",Base_Original!J265="não",Base_Original!J265="NÃO",Base_Original!J265="Nao"),"Não",IF(Base_Original!J265="","vazio",Base_Original!J265)))</f>
        <v>Não</v>
      </c>
      <c r="R265" s="46">
        <f>IF(ISNUMBER(Base_Original!K265),Base_Original!K265,IF(RIGHT(Base_Original!K265,9)=" batalhas",VALUE(LEFT(Base_Original!K265,LEN(Base_Original!K265)-9)),Base_Original!K265))</f>
        <v>40</v>
      </c>
      <c r="S265" s="42" t="str">
        <f>IF($R265="vazio","vazio",IF($R265&lt;=10,"Baixo",IF($R265&lt;=25,"Médio","Alto")))</f>
        <v>Alto</v>
      </c>
      <c r="T265" s="42" t="str">
        <f>IF(AND($S265="Alto",$Q265="Sim"),"Negada","Aprovada")</f>
        <v>Aprovada</v>
      </c>
      <c r="U265" s="43">
        <v>49500</v>
      </c>
    </row>
    <row r="266" spans="1:21">
      <c r="A266" s="47" t="s">
        <v>1120</v>
      </c>
      <c r="B266" s="37" t="str">
        <f>IF(Base_Original!A266="","vazio",IF(Base_Original!A266="ATIVO","Ativo",IF(Base_Original!A266="INATIVO","Inativo",Base_Original!A266)))</f>
        <v>Ativo</v>
      </c>
      <c r="C266" s="37" t="str">
        <f>PROPER(Base_Original!B266)</f>
        <v>Rickon Redwyne</v>
      </c>
      <c r="D266" s="38">
        <v>15000</v>
      </c>
      <c r="E266" s="39" t="str">
        <f>IF($D266="","Vazio",IF(LEN(SUBSTITUTE(SUBSTITUTE($D266&amp;"",".",""),"-",""))&lt;&gt;11,"Inválido","OK"))</f>
        <v>Inválido</v>
      </c>
      <c r="F266" s="39" t="str">
        <f>IF($D266="","Vazio",IF(COUNTIF($D$2:$D$369,$D266)&gt;1,"Duplicado","Único"))</f>
        <v>Único</v>
      </c>
      <c r="G266" s="40" t="str">
        <f>IF(TRIM(Base_Original!D266)="","",SUBSTITUTE(TRIM(Base_Original!D266),"anos",""))</f>
        <v>73</v>
      </c>
      <c r="H266" s="50">
        <f>IF($J266="","Vazio",DATEDIF($J266,DATE(2026,9,10),"Y"))</f>
        <v>73</v>
      </c>
      <c r="I26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66" s="33">
        <v>19588</v>
      </c>
      <c r="K266" s="42" t="s">
        <v>99</v>
      </c>
      <c r="L266" s="42" t="str">
        <f>PROPER(Base_Original!G266)</f>
        <v>Norte</v>
      </c>
      <c r="M266" s="43">
        <v>28600</v>
      </c>
      <c r="N266" s="43">
        <f>IF(ISNUMBER(Base_Original!I266),Base_Original!I266,IF(RIGHT(Base_Original!I266,7)=" moedas",VALUE(LEFT(Base_Original!I266,LEN(Base_Original!I266)-7)),Base_Original!I266))</f>
        <v>40500</v>
      </c>
      <c r="O266" s="44" t="str">
        <f>IF(AND($N266&gt;50000,$Q266="Sim"),"Negada","Aprovada")</f>
        <v>Aprovada</v>
      </c>
      <c r="P266" s="45">
        <f>IF(AND($T266="Negada",$O266="Negada"),0,IF($B266="Ativo",$U266*8%,"0"))</f>
        <v>200</v>
      </c>
      <c r="Q266" s="46" t="str">
        <f>IF(OR(Base_Original!J266="Sim",Base_Original!J266="sim",Base_Original!J266="SIM"),"Sim",IF(OR(Base_Original!J266="Não",Base_Original!J266="não",Base_Original!J266="NÃO",Base_Original!J266="Nao"),"Não",IF(Base_Original!J266="","vazio",Base_Original!J266)))</f>
        <v>Não</v>
      </c>
      <c r="R266" s="46">
        <f>IF(ISNUMBER(Base_Original!K266),Base_Original!K266,IF(RIGHT(Base_Original!K266,9)=" batalhas",VALUE(LEFT(Base_Original!K266,LEN(Base_Original!K266)-9)),Base_Original!K266))</f>
        <v>20</v>
      </c>
      <c r="S266" s="42" t="str">
        <f>IF($R266="vazio","vazio",IF($R266&lt;=10,"Baixo",IF($R266&lt;=25,"Médio","Alto")))</f>
        <v>Médio</v>
      </c>
      <c r="T266" s="42" t="str">
        <f>IF(AND($S266="Alto",$Q266="Sim"),"Negada","Aprovada")</f>
        <v>Aprovada</v>
      </c>
      <c r="U266" s="43">
        <v>2500</v>
      </c>
    </row>
    <row r="267" spans="1:21">
      <c r="A267" s="47" t="s">
        <v>1121</v>
      </c>
      <c r="B267" s="37" t="str">
        <f>IF(Base_Original!A267="","vazio",IF(Base_Original!A267="ATIVO","Ativo",IF(Base_Original!A267="INATIVO","Inativo",Base_Original!A267)))</f>
        <v>Ativo</v>
      </c>
      <c r="C267" s="37" t="str">
        <f>PROPER(Base_Original!B267)</f>
        <v>Rickon Targaryen</v>
      </c>
      <c r="D267" s="38" t="s">
        <v>582</v>
      </c>
      <c r="E267" s="39" t="str">
        <f>IF($D267="","Vazio",IF(LEN(SUBSTITUTE(SUBSTITUTE($D267&amp;"",".",""),"-",""))&lt;&gt;11,"Inválido","OK"))</f>
        <v>OK</v>
      </c>
      <c r="F267" s="39" t="str">
        <f>IF($D267="","Vazio",IF(COUNTIF($D$2:$D$369,$D267)&gt;1,"Duplicado","Único"))</f>
        <v>Único</v>
      </c>
      <c r="G267" s="40" t="str">
        <f>IF(TRIM(Base_Original!D267)="","",SUBSTITUTE(TRIM(Base_Original!D267),"anos",""))</f>
        <v>19</v>
      </c>
      <c r="H267" s="50">
        <f>IF($J267="","Vazio",DATEDIF($J267,DATE(2026,9,10),"Y"))</f>
        <v>19</v>
      </c>
      <c r="I26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67" s="33">
        <v>39003</v>
      </c>
      <c r="K267" s="42" t="s">
        <v>75</v>
      </c>
      <c r="L267" s="42" t="str">
        <f>PROPER(Base_Original!G267)</f>
        <v>Norte</v>
      </c>
      <c r="M267" s="43">
        <v>4000</v>
      </c>
      <c r="N267" s="43">
        <f>IF(ISNUMBER(Base_Original!I267),Base_Original!I267,IF(RIGHT(Base_Original!I267,7)=" moedas",VALUE(LEFT(Base_Original!I267,LEN(Base_Original!I267)-7)),Base_Original!I267))</f>
        <v>29500</v>
      </c>
      <c r="O267" s="44" t="str">
        <f>IF(AND($N267&gt;50000,$Q267="Sim"),"Negada","Aprovada")</f>
        <v>Aprovada</v>
      </c>
      <c r="P267" s="45">
        <f>IF(AND($T267="Negada",$O267="Negada"),0,IF($B267="Ativo",$U267*8%,"0"))</f>
        <v>400</v>
      </c>
      <c r="Q267" s="46" t="str">
        <f>IF(OR(Base_Original!J267="Sim",Base_Original!J267="sim",Base_Original!J267="SIM"),"Sim",IF(OR(Base_Original!J267="Não",Base_Original!J267="não",Base_Original!J267="NÃO",Base_Original!J267="Nao"),"Não",IF(Base_Original!J267="","vazio",Base_Original!J267)))</f>
        <v>Sim</v>
      </c>
      <c r="R267" s="46">
        <f>IF(ISNUMBER(Base_Original!K267),Base_Original!K267,IF(RIGHT(Base_Original!K267,9)=" batalhas",VALUE(LEFT(Base_Original!K267,LEN(Base_Original!K267)-9)),Base_Original!K267))</f>
        <v>13</v>
      </c>
      <c r="S267" s="42" t="str">
        <f>IF($R267="vazio","vazio",IF($R267&lt;=10,"Baixo",IF($R267&lt;=25,"Médio","Alto")))</f>
        <v>Médio</v>
      </c>
      <c r="T267" s="42" t="str">
        <f>IF(AND($S267="Alto",$Q267="Sim"),"Negada","Aprovada")</f>
        <v>Aprovada</v>
      </c>
      <c r="U267" s="43">
        <v>5000</v>
      </c>
    </row>
    <row r="268" spans="1:21">
      <c r="A268" s="47" t="s">
        <v>1122</v>
      </c>
      <c r="B268" s="37" t="str">
        <f>IF(Base_Original!A268="","vazio",IF(Base_Original!A268="ATIVO","Ativo",IF(Base_Original!A268="INATIVO","Inativo",Base_Original!A268)))</f>
        <v>Ativo</v>
      </c>
      <c r="C268" s="37" t="str">
        <f>PROPER(Base_Original!B268)</f>
        <v>Robb Baratheon</v>
      </c>
      <c r="D268" s="38" t="s">
        <v>585</v>
      </c>
      <c r="E268" s="39" t="str">
        <f>IF($D268="","Vazio",IF(LEN(SUBSTITUTE(SUBSTITUTE($D268&amp;"",".",""),"-",""))&lt;&gt;11,"Inválido","OK"))</f>
        <v>OK</v>
      </c>
      <c r="F268" s="39" t="str">
        <f>IF($D268="","Vazio",IF(COUNTIF($D$2:$D$369,$D268)&gt;1,"Duplicado","Único"))</f>
        <v>Único</v>
      </c>
      <c r="G268" s="40" t="str">
        <f>IF(TRIM(Base_Original!D268)="","",SUBSTITUTE(TRIM(Base_Original!D268),"anos",""))</f>
        <v>54</v>
      </c>
      <c r="H268" s="50">
        <f>IF($J268="","Vazio",DATEDIF($J268,DATE(2026,9,10),"Y"))</f>
        <v>54</v>
      </c>
      <c r="I26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68" s="33">
        <v>26382</v>
      </c>
      <c r="K268" s="42" t="s">
        <v>180</v>
      </c>
      <c r="L268" s="42" t="str">
        <f>PROPER(Base_Original!G268)</f>
        <v>Terras Da Tempestade</v>
      </c>
      <c r="M268" s="43">
        <v>22100</v>
      </c>
      <c r="N268" s="43">
        <f>IF(ISNUMBER(Base_Original!I268),Base_Original!I268,IF(RIGHT(Base_Original!I268,7)=" moedas",VALUE(LEFT(Base_Original!I268,LEN(Base_Original!I268)-7)),Base_Original!I268))</f>
        <v>37000</v>
      </c>
      <c r="O268" s="44" t="str">
        <f>IF(AND($N268&gt;50000,$Q268="Sim"),"Negada","Aprovada")</f>
        <v>Aprovada</v>
      </c>
      <c r="P268" s="45">
        <f>IF(AND($T268="Negada",$O268="Negada"),0,IF($B268="Ativo",$U268*8%,"0"))</f>
        <v>6960</v>
      </c>
      <c r="Q268" s="46" t="str">
        <f>IF(OR(Base_Original!J268="Sim",Base_Original!J268="sim",Base_Original!J268="SIM"),"Sim",IF(OR(Base_Original!J268="Não",Base_Original!J268="não",Base_Original!J268="NÃO",Base_Original!J268="Nao"),"Não",IF(Base_Original!J268="","vazio",Base_Original!J268)))</f>
        <v>Não</v>
      </c>
      <c r="R268" s="46">
        <f>IF(ISNUMBER(Base_Original!K268),Base_Original!K268,IF(RIGHT(Base_Original!K268,9)=" batalhas",VALUE(LEFT(Base_Original!K268,LEN(Base_Original!K268)-9)),Base_Original!K268))</f>
        <v>34</v>
      </c>
      <c r="S268" s="42" t="str">
        <f>IF($R268="vazio","vazio",IF($R268&lt;=10,"Baixo",IF($R268&lt;=25,"Médio","Alto")))</f>
        <v>Alto</v>
      </c>
      <c r="T268" s="42" t="str">
        <f>IF(AND($S268="Alto",$Q268="Sim"),"Negada","Aprovada")</f>
        <v>Aprovada</v>
      </c>
      <c r="U268" s="43">
        <v>87000</v>
      </c>
    </row>
    <row r="269" spans="1:21">
      <c r="A269" s="47" t="s">
        <v>1123</v>
      </c>
      <c r="B269" s="37" t="str">
        <f>IF(Base_Original!A269="","vazio",IF(Base_Original!A269="ATIVO","Ativo",IF(Base_Original!A269="INATIVO","Inativo",Base_Original!A269)))</f>
        <v>Ativo</v>
      </c>
      <c r="C269" s="37" t="str">
        <f>PROPER(Base_Original!B269)</f>
        <v>Robb Clegane</v>
      </c>
      <c r="D269" s="38" t="s">
        <v>587</v>
      </c>
      <c r="E269" s="39" t="str">
        <f>IF($D269="","Vazio",IF(LEN(SUBSTITUTE(SUBSTITUTE($D269&amp;"",".",""),"-",""))&lt;&gt;11,"Inválido","OK"))</f>
        <v>OK</v>
      </c>
      <c r="F269" s="39" t="str">
        <f>IF($D269="","Vazio",IF(COUNTIF($D$2:$D$369,$D269)&gt;1,"Duplicado","Único"))</f>
        <v>Único</v>
      </c>
      <c r="G269" s="40" t="str">
        <f>IF(TRIM(Base_Original!D269)="","",SUBSTITUTE(TRIM(Base_Original!D269),"anos",""))</f>
        <v>18</v>
      </c>
      <c r="H269" s="50">
        <f>IF($J269="","Vazio",DATEDIF($J269,DATE(2026,9,10),"Y"))</f>
        <v>18</v>
      </c>
      <c r="I26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69" s="33">
        <v>39338</v>
      </c>
      <c r="K269" s="42" t="s">
        <v>99</v>
      </c>
      <c r="L269" s="42" t="str">
        <f>PROPER(Base_Original!G269)</f>
        <v>Norte</v>
      </c>
      <c r="M269" s="43">
        <v>14100</v>
      </c>
      <c r="N269" s="43">
        <f>IF(ISNUMBER(Base_Original!I269),Base_Original!I269,IF(RIGHT(Base_Original!I269,7)=" moedas",VALUE(LEFT(Base_Original!I269,LEN(Base_Original!I269)-7)),Base_Original!I269))</f>
        <v>38500</v>
      </c>
      <c r="O269" s="44" t="str">
        <f>IF(AND($N269&gt;50000,$Q269="Sim"),"Negada","Aprovada")</f>
        <v>Aprovada</v>
      </c>
      <c r="P269" s="45">
        <f>IF(AND($T269="Negada",$O269="Negada"),0,IF($B269="Ativo",$U269*8%,"0"))</f>
        <v>880</v>
      </c>
      <c r="Q269" s="46" t="str">
        <f>IF(OR(Base_Original!J269="Sim",Base_Original!J269="sim",Base_Original!J269="SIM"),"Sim",IF(OR(Base_Original!J269="Não",Base_Original!J269="não",Base_Original!J269="NÃO",Base_Original!J269="Nao"),"Não",IF(Base_Original!J269="","vazio",Base_Original!J269)))</f>
        <v>Não</v>
      </c>
      <c r="R269" s="46">
        <f>IF(ISNUMBER(Base_Original!K269),Base_Original!K269,IF(RIGHT(Base_Original!K269,9)=" batalhas",VALUE(LEFT(Base_Original!K269,LEN(Base_Original!K269)-9)),Base_Original!K269))</f>
        <v>7</v>
      </c>
      <c r="S269" s="42" t="str">
        <f>IF($R269="vazio","vazio",IF($R269&lt;=10,"Baixo",IF($R269&lt;=25,"Médio","Alto")))</f>
        <v>Baixo</v>
      </c>
      <c r="T269" s="42" t="str">
        <f>IF(AND($S269="Alto",$Q269="Sim"),"Negada","Aprovada")</f>
        <v>Aprovada</v>
      </c>
      <c r="U269" s="43">
        <v>11000</v>
      </c>
    </row>
    <row r="270" spans="1:21">
      <c r="A270" s="47" t="s">
        <v>1124</v>
      </c>
      <c r="B270" s="37" t="str">
        <f>IF(Base_Original!A270="","vazio",IF(Base_Original!A270="ATIVO","Ativo",IF(Base_Original!A270="INATIVO","Inativo",Base_Original!A270)))</f>
        <v>Ativo</v>
      </c>
      <c r="C270" s="37" t="str">
        <f>PROPER(Base_Original!B270)</f>
        <v>Robb Greyjoy</v>
      </c>
      <c r="D270" s="38" t="s">
        <v>589</v>
      </c>
      <c r="E270" s="39" t="str">
        <f>IF($D270="","Vazio",IF(LEN(SUBSTITUTE(SUBSTITUTE($D270&amp;"",".",""),"-",""))&lt;&gt;11,"Inválido","OK"))</f>
        <v>OK</v>
      </c>
      <c r="F270" s="39" t="str">
        <f>IF($D270="","Vazio",IF(COUNTIF($D$2:$D$369,$D270)&gt;1,"Duplicado","Único"))</f>
        <v>Único</v>
      </c>
      <c r="G270" s="40" t="str">
        <f>IF(TRIM(Base_Original!D270)="","",SUBSTITUTE(TRIM(Base_Original!D270),"anos",""))</f>
        <v>25</v>
      </c>
      <c r="H270" s="50">
        <f>IF($J270="","Vazio",DATEDIF($J270,DATE(2026,9,10),"Y"))</f>
        <v>25</v>
      </c>
      <c r="I27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70" s="33">
        <v>37056</v>
      </c>
      <c r="K270" s="42" t="s">
        <v>99</v>
      </c>
      <c r="L270" s="42" t="str">
        <f>PROPER(Base_Original!G270)</f>
        <v>Norte</v>
      </c>
      <c r="M270" s="43">
        <v>25400</v>
      </c>
      <c r="N270" s="43">
        <f>IF(ISNUMBER(Base_Original!I270),Base_Original!I270,IF(RIGHT(Base_Original!I270,7)=" moedas",VALUE(LEFT(Base_Original!I270,LEN(Base_Original!I270)-7)),Base_Original!I270))</f>
        <v>4000</v>
      </c>
      <c r="O270" s="44" t="str">
        <f>IF(AND($N270&gt;50000,$Q270="Sim"),"Negada","Aprovada")</f>
        <v>Aprovada</v>
      </c>
      <c r="P270" s="45">
        <f>IF(AND($T270="Negada",$O270="Negada"),0,IF($B270="Ativo",$U270*8%,"0"))</f>
        <v>680</v>
      </c>
      <c r="Q270" s="46" t="str">
        <f>IF(OR(Base_Original!J270="Sim",Base_Original!J270="sim",Base_Original!J270="SIM"),"Sim",IF(OR(Base_Original!J270="Não",Base_Original!J270="não",Base_Original!J270="NÃO",Base_Original!J270="Nao"),"Não",IF(Base_Original!J270="","vazio",Base_Original!J270)))</f>
        <v>Não</v>
      </c>
      <c r="R270" s="46">
        <f>IF(ISNUMBER(Base_Original!K270),Base_Original!K270,IF(RIGHT(Base_Original!K270,9)=" batalhas",VALUE(LEFT(Base_Original!K270,LEN(Base_Original!K270)-9)),Base_Original!K270))</f>
        <v>4</v>
      </c>
      <c r="S270" s="42" t="str">
        <f>IF($R270="vazio","vazio",IF($R270&lt;=10,"Baixo",IF($R270&lt;=25,"Médio","Alto")))</f>
        <v>Baixo</v>
      </c>
      <c r="T270" s="42" t="str">
        <f>IF(AND($S270="Alto",$Q270="Sim"),"Negada","Aprovada")</f>
        <v>Aprovada</v>
      </c>
      <c r="U270" s="43">
        <v>8500</v>
      </c>
    </row>
    <row r="271" spans="1:21">
      <c r="A271" s="47" t="s">
        <v>1125</v>
      </c>
      <c r="B271" s="37" t="str">
        <f>IF(Base_Original!A271="","vazio",IF(Base_Original!A271="ATIVO","Ativo",IF(Base_Original!A271="INATIVO","Inativo",Base_Original!A271)))</f>
        <v>Ativo</v>
      </c>
      <c r="C271" s="37" t="str">
        <f>PROPER(Base_Original!B271)</f>
        <v>Robb Reed</v>
      </c>
      <c r="D271" s="38" t="s">
        <v>591</v>
      </c>
      <c r="E271" s="39" t="str">
        <f>IF($D271="","Vazio",IF(LEN(SUBSTITUTE(SUBSTITUTE($D271&amp;"",".",""),"-",""))&lt;&gt;11,"Inválido","OK"))</f>
        <v>OK</v>
      </c>
      <c r="F271" s="39" t="str">
        <f>IF($D271="","Vazio",IF(COUNTIF($D$2:$D$369,$D271)&gt;1,"Duplicado","Único"))</f>
        <v>Único</v>
      </c>
      <c r="G271" s="40" t="str">
        <f>IF(TRIM(Base_Original!D271)="","",SUBSTITUTE(TRIM(Base_Original!D271),"anos",""))</f>
        <v/>
      </c>
      <c r="H271" s="50">
        <f>IF($J271="","Vazio",DATEDIF($J271,DATE(2026,9,10),"Y"))</f>
        <v>29</v>
      </c>
      <c r="I27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271" s="33">
        <v>35600</v>
      </c>
      <c r="K271" s="42" t="s">
        <v>160</v>
      </c>
      <c r="L271" s="42" t="str">
        <f>PROPER(Base_Original!G271)</f>
        <v>Terras Fluviais</v>
      </c>
      <c r="M271" s="43">
        <v>9600</v>
      </c>
      <c r="N271" s="43">
        <f>IF(ISNUMBER(Base_Original!I271),Base_Original!I271,IF(RIGHT(Base_Original!I271,7)=" moedas",VALUE(LEFT(Base_Original!I271,LEN(Base_Original!I271)-7)),Base_Original!I271))</f>
        <v>41000</v>
      </c>
      <c r="O271" s="44" t="str">
        <f>IF(AND($N271&gt;50000,$Q271="Sim"),"Negada","Aprovada")</f>
        <v>Aprovada</v>
      </c>
      <c r="P271" s="45">
        <f>IF(AND($T271="Negada",$O271="Negada"),0,IF($B271="Ativo",$U271*8%,"0"))</f>
        <v>2000</v>
      </c>
      <c r="Q271" s="46" t="str">
        <f>IF(OR(Base_Original!J271="Sim",Base_Original!J271="sim",Base_Original!J271="SIM"),"Sim",IF(OR(Base_Original!J271="Não",Base_Original!J271="não",Base_Original!J271="NÃO",Base_Original!J271="Nao"),"Não",IF(Base_Original!J271="","vazio",Base_Original!J271)))</f>
        <v>Não</v>
      </c>
      <c r="R271" s="46">
        <f>IF(ISNUMBER(Base_Original!K271),Base_Original!K271,IF(RIGHT(Base_Original!K271,9)=" batalhas",VALUE(LEFT(Base_Original!K271,LEN(Base_Original!K271)-9)),Base_Original!K271))</f>
        <v>27</v>
      </c>
      <c r="S271" s="42" t="str">
        <f>IF($R271="vazio","vazio",IF($R271&lt;=10,"Baixo",IF($R271&lt;=25,"Médio","Alto")))</f>
        <v>Alto</v>
      </c>
      <c r="T271" s="42" t="str">
        <f>IF(AND($S271="Alto",$Q271="Sim"),"Negada","Aprovada")</f>
        <v>Aprovada</v>
      </c>
      <c r="U271" s="43">
        <v>25000</v>
      </c>
    </row>
    <row r="272" spans="1:21">
      <c r="A272" s="47" t="s">
        <v>1126</v>
      </c>
      <c r="B272" s="37" t="str">
        <f>IF(Base_Original!A272="","vazio",IF(Base_Original!A272="ATIVO","Ativo",IF(Base_Original!A272="INATIVO","Inativo",Base_Original!A272)))</f>
        <v>Ativo</v>
      </c>
      <c r="C272" s="37" t="str">
        <f>PROPER(Base_Original!B272)</f>
        <v>Robb Stark</v>
      </c>
      <c r="D272" s="38" t="s">
        <v>593</v>
      </c>
      <c r="E272" s="39" t="str">
        <f>IF($D272="","Vazio",IF(LEN(SUBSTITUTE(SUBSTITUTE($D272&amp;"",".",""),"-",""))&lt;&gt;11,"Inválido","OK"))</f>
        <v>OK</v>
      </c>
      <c r="F272" s="39" t="str">
        <f>IF($D272="","Vazio",IF(COUNTIF($D$2:$D$369,$D272)&gt;1,"Duplicado","Único"))</f>
        <v>Único</v>
      </c>
      <c r="G272" s="40" t="str">
        <f>IF(TRIM(Base_Original!D272)="","",SUBSTITUTE(TRIM(Base_Original!D272),"anos",""))</f>
        <v>65</v>
      </c>
      <c r="H272" s="50">
        <f>IF($J272="","Vazio",DATEDIF($J272,DATE(2026,9,10),"Y"))</f>
        <v>65</v>
      </c>
      <c r="I27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72" s="33">
        <v>22505</v>
      </c>
      <c r="K272" s="42" t="s">
        <v>75</v>
      </c>
      <c r="L272" s="42" t="str">
        <f>PROPER(Base_Original!G272)</f>
        <v>Norte</v>
      </c>
      <c r="M272" s="43">
        <v>29000</v>
      </c>
      <c r="N272" s="43">
        <f>IF(ISNUMBER(Base_Original!I272),Base_Original!I272,IF(RIGHT(Base_Original!I272,7)=" moedas",VALUE(LEFT(Base_Original!I272,LEN(Base_Original!I272)-7)),Base_Original!I272))</f>
        <v>28500</v>
      </c>
      <c r="O272" s="44" t="str">
        <f>IF(AND($N272&gt;50000,$Q272="Sim"),"Negada","Aprovada")</f>
        <v>Aprovada</v>
      </c>
      <c r="P272" s="45">
        <f>IF(AND($T272="Negada",$O272="Negada"),0,IF($B272="Ativo",$U272*8%,"0"))</f>
        <v>4600</v>
      </c>
      <c r="Q272" s="46" t="str">
        <f>IF(OR(Base_Original!J272="Sim",Base_Original!J272="sim",Base_Original!J272="SIM"),"Sim",IF(OR(Base_Original!J272="Não",Base_Original!J272="não",Base_Original!J272="NÃO",Base_Original!J272="Nao"),"Não",IF(Base_Original!J272="","vazio",Base_Original!J272)))</f>
        <v>Não</v>
      </c>
      <c r="R272" s="46">
        <f>IF(ISNUMBER(Base_Original!K272),Base_Original!K272,IF(RIGHT(Base_Original!K272,9)=" batalhas",VALUE(LEFT(Base_Original!K272,LEN(Base_Original!K272)-9)),Base_Original!K272))</f>
        <v>28</v>
      </c>
      <c r="S272" s="42" t="str">
        <f>IF($R272="vazio","vazio",IF($R272&lt;=10,"Baixo",IF($R272&lt;=25,"Médio","Alto")))</f>
        <v>Alto</v>
      </c>
      <c r="T272" s="42" t="str">
        <f>IF(AND($S272="Alto",$Q272="Sim"),"Negada","Aprovada")</f>
        <v>Aprovada</v>
      </c>
      <c r="U272" s="43">
        <v>57500</v>
      </c>
    </row>
    <row r="273" spans="1:21">
      <c r="A273" s="47" t="s">
        <v>1127</v>
      </c>
      <c r="B273" s="37" t="str">
        <f>IF(Base_Original!A273="","vazio",IF(Base_Original!A273="ATIVO","Ativo",IF(Base_Original!A273="INATIVO","Inativo",Base_Original!A273)))</f>
        <v>Ativo</v>
      </c>
      <c r="C273" s="37" t="str">
        <f>PROPER(Base_Original!B273)</f>
        <v>Robert Cerwyn</v>
      </c>
      <c r="D273" s="38">
        <v>30000</v>
      </c>
      <c r="E273" s="39" t="str">
        <f>IF($D273="","Vazio",IF(LEN(SUBSTITUTE(SUBSTITUTE($D273&amp;"",".",""),"-",""))&lt;&gt;11,"Inválido","OK"))</f>
        <v>Inválido</v>
      </c>
      <c r="F273" s="39" t="str">
        <f>IF($D273="","Vazio",IF(COUNTIF($D$2:$D$369,$D273)&gt;1,"Duplicado","Único"))</f>
        <v>Único</v>
      </c>
      <c r="G273" s="40" t="str">
        <f>IF(TRIM(Base_Original!D273)="","",SUBSTITUTE(TRIM(Base_Original!D273),"anos",""))</f>
        <v>48</v>
      </c>
      <c r="H273" s="50">
        <f>IF($J273="","Vazio",DATEDIF($J273,DATE(2026,9,10),"Y"))</f>
        <v>48</v>
      </c>
      <c r="I27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73" s="33">
        <v>28509</v>
      </c>
      <c r="K273" s="42" t="s">
        <v>160</v>
      </c>
      <c r="L273" s="42" t="str">
        <f>PROPER(Base_Original!G273)</f>
        <v>Terras Fluviais</v>
      </c>
      <c r="M273" s="43">
        <v>17800</v>
      </c>
      <c r="N273" s="43">
        <f>IF(ISNUMBER(Base_Original!I273),Base_Original!I273,IF(RIGHT(Base_Original!I273,7)=" moedas",VALUE(LEFT(Base_Original!I273,LEN(Base_Original!I273)-7)),Base_Original!I273))</f>
        <v>9000</v>
      </c>
      <c r="O273" s="44" t="str">
        <f>IF(AND($N273&gt;50000,$Q273="Sim"),"Negada","Aprovada")</f>
        <v>Aprovada</v>
      </c>
      <c r="P273" s="45">
        <f>IF(AND($T273="Negada",$O273="Negada"),0,IF($B273="Ativo",$U273*8%,"0"))</f>
        <v>6400</v>
      </c>
      <c r="Q273" s="46">
        <f>IF(OR(Base_Original!J273="Sim",Base_Original!J273="sim",Base_Original!J273="SIM"),"Sim",IF(OR(Base_Original!J273="Não",Base_Original!J273="não",Base_Original!J273="NÃO",Base_Original!J273="Nao"),"Não",IF(Base_Original!J273="","vazio",Base_Original!J273)))</f>
        <v>0</v>
      </c>
      <c r="R273" s="46">
        <f>IF(ISNUMBER(Base_Original!K273),Base_Original!K273,IF(RIGHT(Base_Original!K273,9)=" batalhas",VALUE(LEFT(Base_Original!K273,LEN(Base_Original!K273)-9)),Base_Original!K273))</f>
        <v>28</v>
      </c>
      <c r="S273" s="42" t="str">
        <f>IF($R273="vazio","vazio",IF($R273&lt;=10,"Baixo",IF($R273&lt;=25,"Médio","Alto")))</f>
        <v>Alto</v>
      </c>
      <c r="T273" s="42" t="str">
        <f>IF(AND($S273="Alto",$Q273="Sim"),"Negada","Aprovada")</f>
        <v>Aprovada</v>
      </c>
      <c r="U273" s="43">
        <v>80000</v>
      </c>
    </row>
    <row r="274" spans="1:21">
      <c r="A274" s="47" t="s">
        <v>1128</v>
      </c>
      <c r="B274" s="37" t="str">
        <f>IF(Base_Original!A275="","vazio",IF(Base_Original!A275="ATIVO","Ativo",IF(Base_Original!A275="INATIVO","Inativo",Base_Original!A275)))</f>
        <v>Ativo</v>
      </c>
      <c r="C274" s="37" t="str">
        <f>PROPER(Base_Original!B275)</f>
        <v>Robert Hornwood</v>
      </c>
      <c r="D274" s="38" t="s">
        <v>598</v>
      </c>
      <c r="E274" s="39" t="str">
        <f>IF($D274="","Vazio",IF(LEN(SUBSTITUTE(SUBSTITUTE($D274&amp;"",".",""),"-",""))&lt;&gt;11,"Inválido","OK"))</f>
        <v>OK</v>
      </c>
      <c r="F274" s="39" t="str">
        <f>IF($D274="","Vazio",IF(COUNTIF($D$2:$D$369,$D274)&gt;1,"Duplicado","Único"))</f>
        <v>Único</v>
      </c>
      <c r="G274" s="40" t="str">
        <f>IF(TRIM(Base_Original!D274)="","",SUBSTITUTE(TRIM(Base_Original!D274),"anos",""))</f>
        <v xml:space="preserve">41 </v>
      </c>
      <c r="H274" s="50">
        <f>IF($J274="","Vazio",DATEDIF($J274,DATE(2026,9,10),"Y"))</f>
        <v>41</v>
      </c>
      <c r="I27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74" s="33">
        <v>31115</v>
      </c>
      <c r="K274" s="42" t="s">
        <v>20</v>
      </c>
      <c r="L274" s="42" t="str">
        <f>PROPER(Base_Original!G275)</f>
        <v>Campina</v>
      </c>
      <c r="M274" s="43">
        <v>23000</v>
      </c>
      <c r="N274" s="43">
        <f>IF(ISNUMBER(Base_Original!I275),Base_Original!I275,IF(RIGHT(Base_Original!I275,7)=" moedas",VALUE(LEFT(Base_Original!I275,LEN(Base_Original!I275)-7)),Base_Original!I275))</f>
        <v>19000</v>
      </c>
      <c r="O274" s="44" t="str">
        <f>IF(AND($N274&gt;50000,$Q274="Sim"),"Negada","Aprovada")</f>
        <v>Aprovada</v>
      </c>
      <c r="P274" s="45">
        <f>IF(AND($T274="Negada",$O274="Negada"),0,IF($B274="Ativo",$U274*8%,"0"))</f>
        <v>1360</v>
      </c>
      <c r="Q274" s="46" t="str">
        <f>IF(OR(Base_Original!J275="Sim",Base_Original!J275="sim",Base_Original!J275="SIM"),"Sim",IF(OR(Base_Original!J275="Não",Base_Original!J275="não",Base_Original!J275="NÃO",Base_Original!J275="Nao"),"Não",IF(Base_Original!J275="","vazio",Base_Original!J275)))</f>
        <v>Não</v>
      </c>
      <c r="R274" s="46">
        <f>IF(ISNUMBER(Base_Original!K275),Base_Original!K275,IF(RIGHT(Base_Original!K275,9)=" batalhas",VALUE(LEFT(Base_Original!K275,LEN(Base_Original!K275)-9)),Base_Original!K275))</f>
        <v>0</v>
      </c>
      <c r="S274" s="42" t="str">
        <f>IF($R274="vazio","vazio",IF($R274&lt;=10,"Baixo",IF($R274&lt;=25,"Médio","Alto")))</f>
        <v>Baixo</v>
      </c>
      <c r="T274" s="42" t="str">
        <f>IF(AND($S274="Alto",$Q274="Sim"),"Negada","Aprovada")</f>
        <v>Aprovada</v>
      </c>
      <c r="U274" s="43">
        <v>17000</v>
      </c>
    </row>
    <row r="275" spans="1:21">
      <c r="A275" s="47" t="s">
        <v>1129</v>
      </c>
      <c r="B275" s="37" t="str">
        <f>IF(Base_Original!A274="","vazio",IF(Base_Original!A274="ATIVO","Ativo",IF(Base_Original!A274="INATIVO","Inativo",Base_Original!A274)))</f>
        <v>Ativo</v>
      </c>
      <c r="C275" s="37" t="str">
        <f>PROPER(Base_Original!B274)</f>
        <v>Robert Hornwood</v>
      </c>
      <c r="D275" s="38">
        <v>28500</v>
      </c>
      <c r="E275" s="39" t="str">
        <f>IF($D275="","Vazio",IF(LEN(SUBSTITUTE(SUBSTITUTE($D275&amp;"",".",""),"-",""))&lt;&gt;11,"Inválido","OK"))</f>
        <v>Inválido</v>
      </c>
      <c r="F275" s="39" t="str">
        <f>IF($D275="","Vazio",IF(COUNTIF($D$2:$D$369,$D275)&gt;1,"Duplicado","Único"))</f>
        <v>Único</v>
      </c>
      <c r="G275" s="40" t="str">
        <f>IF(TRIM(Base_Original!D275)="","",SUBSTITUTE(TRIM(Base_Original!D275),"anos",""))</f>
        <v>73</v>
      </c>
      <c r="H275" s="50">
        <f>IF($J275="","Vazio",DATEDIF($J275,DATE(2026,9,10),"Y"))</f>
        <v>73</v>
      </c>
      <c r="I27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75" s="33">
        <v>19363</v>
      </c>
      <c r="K275" s="42" t="s">
        <v>40</v>
      </c>
      <c r="L275" s="42" t="str">
        <f>PROPER(Base_Original!G274)</f>
        <v>Norte</v>
      </c>
      <c r="M275" s="43">
        <v>23100</v>
      </c>
      <c r="N275" s="43">
        <f>IF(ISNUMBER(Base_Original!I274),Base_Original!I274,IF(RIGHT(Base_Original!I274,7)=" moedas",VALUE(LEFT(Base_Original!I274,LEN(Base_Original!I274)-7)),Base_Original!I274))</f>
        <v>36000</v>
      </c>
      <c r="O275" s="44" t="str">
        <f>IF(AND($N275&gt;50000,$Q275="Sim"),"Negada","Aprovada")</f>
        <v>Aprovada</v>
      </c>
      <c r="P275" s="45">
        <f>IF(AND($T275="Negada",$O275="Negada"),0,IF($B275="Ativo",$U275*8%,"0"))</f>
        <v>3000</v>
      </c>
      <c r="Q275" s="46" t="str">
        <f>IF(OR(Base_Original!J274="Sim",Base_Original!J274="sim",Base_Original!J274="SIM"),"Sim",IF(OR(Base_Original!J274="Não",Base_Original!J274="não",Base_Original!J274="NÃO",Base_Original!J274="Nao"),"Não",IF(Base_Original!J274="","vazio",Base_Original!J274)))</f>
        <v>Não</v>
      </c>
      <c r="R275" s="46">
        <f>IF(ISNUMBER(Base_Original!K274),Base_Original!K274,IF(RIGHT(Base_Original!K274,9)=" batalhas",VALUE(LEFT(Base_Original!K274,LEN(Base_Original!K274)-9)),Base_Original!K274))</f>
        <v>19</v>
      </c>
      <c r="S275" s="42" t="str">
        <f>IF($R275="vazio","vazio",IF($R275&lt;=10,"Baixo",IF($R275&lt;=25,"Médio","Alto")))</f>
        <v>Médio</v>
      </c>
      <c r="T275" s="42" t="str">
        <f>IF(AND($S275="Alto",$Q275="Sim"),"Negada","Aprovada")</f>
        <v>Aprovada</v>
      </c>
      <c r="U275" s="43">
        <v>37500</v>
      </c>
    </row>
    <row r="276" spans="1:21">
      <c r="A276" s="47" t="s">
        <v>1130</v>
      </c>
      <c r="B276" s="37" t="str">
        <f>IF(Base_Original!A276="","vazio",IF(Base_Original!A276="ATIVO","Ativo",IF(Base_Original!A276="INATIVO","Inativo",Base_Original!A276)))</f>
        <v>Ativo</v>
      </c>
      <c r="C276" s="37" t="str">
        <f>PROPER(Base_Original!B276)</f>
        <v>Robert Karstark</v>
      </c>
      <c r="D276" s="38" t="s">
        <v>601</v>
      </c>
      <c r="E276" s="39" t="str">
        <f>IF($D276="","Vazio",IF(LEN(SUBSTITUTE(SUBSTITUTE($D276&amp;"",".",""),"-",""))&lt;&gt;11,"Inválido","OK"))</f>
        <v>OK</v>
      </c>
      <c r="F276" s="39" t="str">
        <f>IF($D276="","Vazio",IF(COUNTIF($D$2:$D$369,$D276)&gt;1,"Duplicado","Único"))</f>
        <v>Único</v>
      </c>
      <c r="G276" s="40" t="str">
        <f>IF(TRIM(Base_Original!D276)="","",SUBSTITUTE(TRIM(Base_Original!D276),"anos",""))</f>
        <v/>
      </c>
      <c r="H276" s="50">
        <f>IF($J276="","Vazio",DATEDIF($J276,DATE(2026,9,10),"Y"))</f>
        <v>68</v>
      </c>
      <c r="I27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276" s="33">
        <v>21378</v>
      </c>
      <c r="K276" s="42" t="s">
        <v>30</v>
      </c>
      <c r="L276" s="42" t="str">
        <f>PROPER(Base_Original!G276)</f>
        <v/>
      </c>
      <c r="M276" s="43">
        <v>14300</v>
      </c>
      <c r="N276" s="43">
        <f>IF(ISNUMBER(Base_Original!I276),Base_Original!I276,IF(RIGHT(Base_Original!I276,7)=" moedas",VALUE(LEFT(Base_Original!I276,LEN(Base_Original!I276)-7)),Base_Original!I276))</f>
        <v>32500</v>
      </c>
      <c r="O276" s="44" t="str">
        <f>IF(AND($N276&gt;50000,$Q276="Sim"),"Negada","Aprovada")</f>
        <v>Aprovada</v>
      </c>
      <c r="P276" s="45">
        <f>IF(AND($T276="Negada",$O276="Negada"),0,IF($B276="Ativo",$U276*8%,"0"))</f>
        <v>640</v>
      </c>
      <c r="Q276" s="46" t="str">
        <f>IF(OR(Base_Original!J276="Sim",Base_Original!J276="sim",Base_Original!J276="SIM"),"Sim",IF(OR(Base_Original!J276="Não",Base_Original!J276="não",Base_Original!J276="NÃO",Base_Original!J276="Nao"),"Não",IF(Base_Original!J276="","vazio",Base_Original!J276)))</f>
        <v>Sim</v>
      </c>
      <c r="R276" s="46">
        <f>IF(ISNUMBER(Base_Original!K276),Base_Original!K276,IF(RIGHT(Base_Original!K276,9)=" batalhas",VALUE(LEFT(Base_Original!K276,LEN(Base_Original!K276)-9)),Base_Original!K276))</f>
        <v>15</v>
      </c>
      <c r="S276" s="42" t="str">
        <f>IF($R276="vazio","vazio",IF($R276&lt;=10,"Baixo",IF($R276&lt;=25,"Médio","Alto")))</f>
        <v>Médio</v>
      </c>
      <c r="T276" s="42" t="str">
        <f>IF(AND($S276="Alto",$Q276="Sim"),"Negada","Aprovada")</f>
        <v>Aprovada</v>
      </c>
      <c r="U276" s="43">
        <v>8000</v>
      </c>
    </row>
    <row r="277" spans="1:21">
      <c r="A277" s="47" t="s">
        <v>1131</v>
      </c>
      <c r="B277" s="37" t="str">
        <f>IF(Base_Original!A278="","vazio",IF(Base_Original!A278="ATIVO","Ativo",IF(Base_Original!A278="INATIVO","Inativo",Base_Original!A278)))</f>
        <v>Inativo</v>
      </c>
      <c r="C277" s="37" t="str">
        <f>PROPER(Base_Original!B278)</f>
        <v>Robert Mallister</v>
      </c>
      <c r="D277" s="38" t="s">
        <v>603</v>
      </c>
      <c r="E277" s="39" t="str">
        <f>IF($D277="","Vazio",IF(LEN(SUBSTITUTE(SUBSTITUTE($D277&amp;"",".",""),"-",""))&lt;&gt;11,"Inválido","OK"))</f>
        <v>OK</v>
      </c>
      <c r="F277" s="39" t="str">
        <f>IF($D277="","Vazio",IF(COUNTIF($D$2:$D$369,$D277)&gt;1,"Duplicado","Único"))</f>
        <v>Único</v>
      </c>
      <c r="G277" s="40" t="str">
        <f>IF(TRIM(Base_Original!D277)="","",SUBSTITUTE(TRIM(Base_Original!D277),"anos",""))</f>
        <v>25</v>
      </c>
      <c r="H277" s="50">
        <f>IF($J277="","Vazio",DATEDIF($J277,DATE(2026,9,10),"Y"))</f>
        <v>25</v>
      </c>
      <c r="I27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77" s="33">
        <v>36824</v>
      </c>
      <c r="K277" s="42" t="s">
        <v>40</v>
      </c>
      <c r="L277" s="42" t="str">
        <f>PROPER(Base_Original!G278)</f>
        <v>Essos</v>
      </c>
      <c r="M277" s="43">
        <v>18300</v>
      </c>
      <c r="N277" s="43">
        <f>IF(ISNUMBER(Base_Original!I278),Base_Original!I278,IF(RIGHT(Base_Original!I278,7)=" moedas",VALUE(LEFT(Base_Original!I278,LEN(Base_Original!I278)-7)),Base_Original!I278))</f>
        <v>73500</v>
      </c>
      <c r="O277" s="44" t="str">
        <f>IF(AND($N277&gt;50000,$Q277="Sim"),"Negada","Aprovada")</f>
        <v>Aprovada</v>
      </c>
      <c r="P277" s="45" t="str">
        <f>IF(AND($T277="Negada",$O277="Negada"),0,IF($B277="Ativo",$U277*8%,"0"))</f>
        <v>0</v>
      </c>
      <c r="Q277" s="46" t="str">
        <f>IF(OR(Base_Original!J278="Sim",Base_Original!J278="sim",Base_Original!J278="SIM"),"Sim",IF(OR(Base_Original!J278="Não",Base_Original!J278="não",Base_Original!J278="NÃO",Base_Original!J278="Nao"),"Não",IF(Base_Original!J278="","vazio",Base_Original!J278)))</f>
        <v>Não</v>
      </c>
      <c r="R277" s="46">
        <f>IF(ISNUMBER(Base_Original!K278),Base_Original!K278,IF(RIGHT(Base_Original!K278,9)=" batalhas",VALUE(LEFT(Base_Original!K278,LEN(Base_Original!K278)-9)),Base_Original!K278))</f>
        <v>29</v>
      </c>
      <c r="S277" s="42" t="str">
        <f>IF($R277="vazio","vazio",IF($R277&lt;=10,"Baixo",IF($R277&lt;=25,"Médio","Alto")))</f>
        <v>Alto</v>
      </c>
      <c r="T277" s="42" t="str">
        <f>IF(AND($S277="Alto",$Q277="Sim"),"Negada","Aprovada")</f>
        <v>Aprovada</v>
      </c>
      <c r="U277" s="43">
        <v>32500</v>
      </c>
    </row>
    <row r="278" spans="1:21">
      <c r="A278" s="47" t="s">
        <v>1132</v>
      </c>
      <c r="B278" s="37" t="str">
        <f>IF(Base_Original!A277="","vazio",IF(Base_Original!A277="ATIVO","Ativo",IF(Base_Original!A277="INATIVO","Inativo",Base_Original!A277)))</f>
        <v>Ativo</v>
      </c>
      <c r="C278" s="37" t="str">
        <f>PROPER(Base_Original!B277)</f>
        <v>Robert Mallister</v>
      </c>
      <c r="D278" s="38">
        <v>32700</v>
      </c>
      <c r="E278" s="39" t="str">
        <f>IF($D278="","Vazio",IF(LEN(SUBSTITUTE(SUBSTITUTE($D278&amp;"",".",""),"-",""))&lt;&gt;11,"Inválido","OK"))</f>
        <v>Inválido</v>
      </c>
      <c r="F278" s="39" t="str">
        <f>IF($D278="","Vazio",IF(COUNTIF($D$2:$D$369,$D278)&gt;1,"Duplicado","Único"))</f>
        <v>Único</v>
      </c>
      <c r="G278" s="40" t="str">
        <f>IF(TRIM(Base_Original!D278)="","",SUBSTITUTE(TRIM(Base_Original!D278),"anos",""))</f>
        <v>57</v>
      </c>
      <c r="H278" s="50">
        <f>IF($J278="","Vazio",DATEDIF($J278,DATE(2026,9,10),"Y"))</f>
        <v>57</v>
      </c>
      <c r="I27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78" s="33">
        <v>25369</v>
      </c>
      <c r="K278" s="42" t="s">
        <v>62</v>
      </c>
      <c r="L278" s="42" t="str">
        <f>PROPER(Base_Original!G277)</f>
        <v>Norte</v>
      </c>
      <c r="M278" s="43">
        <v>28600</v>
      </c>
      <c r="N278" s="43">
        <f>IF(ISNUMBER(Base_Original!I277),Base_Original!I277,IF(RIGHT(Base_Original!I277,7)=" moedas",VALUE(LEFT(Base_Original!I277,LEN(Base_Original!I277)-7)),Base_Original!I277))</f>
        <v>41000</v>
      </c>
      <c r="O278" s="44" t="str">
        <f>IF(AND($N278&gt;50000,$Q278="Sim"),"Negada","Aprovada")</f>
        <v>Aprovada</v>
      </c>
      <c r="P278" s="45">
        <f>IF(AND($T278="Negada",$O278="Negada"),0,IF($B278="Ativo",$U278*8%,"0"))</f>
        <v>7480</v>
      </c>
      <c r="Q278" s="46" t="str">
        <f>IF(OR(Base_Original!J277="Sim",Base_Original!J277="sim",Base_Original!J277="SIM"),"Sim",IF(OR(Base_Original!J277="Não",Base_Original!J277="não",Base_Original!J277="NÃO",Base_Original!J277="Nao"),"Não",IF(Base_Original!J277="","vazio",Base_Original!J277)))</f>
        <v>Não</v>
      </c>
      <c r="R278" s="46">
        <f>IF(ISNUMBER(Base_Original!K277),Base_Original!K277,IF(RIGHT(Base_Original!K277,9)=" batalhas",VALUE(LEFT(Base_Original!K277,LEN(Base_Original!K277)-9)),Base_Original!K277))</f>
        <v>9</v>
      </c>
      <c r="S278" s="42" t="str">
        <f>IF($R278="vazio","vazio",IF($R278&lt;=10,"Baixo",IF($R278&lt;=25,"Médio","Alto")))</f>
        <v>Baixo</v>
      </c>
      <c r="T278" s="42" t="str">
        <f>IF(AND($S278="Alto",$Q278="Sim"),"Negada","Aprovada")</f>
        <v>Aprovada</v>
      </c>
      <c r="U278" s="43">
        <v>93500</v>
      </c>
    </row>
    <row r="279" spans="1:21">
      <c r="A279" s="47" t="s">
        <v>1133</v>
      </c>
      <c r="B279" s="37" t="str">
        <f>IF(Base_Original!A279="","vazio",IF(Base_Original!A279="ATIVO","Ativo",IF(Base_Original!A279="INATIVO","Inativo",Base_Original!A279)))</f>
        <v>Inativo</v>
      </c>
      <c r="C279" s="37" t="str">
        <f>PROPER(Base_Original!B279)</f>
        <v>Robert Manderly</v>
      </c>
      <c r="D279" s="38">
        <v>23000</v>
      </c>
      <c r="E279" s="39" t="str">
        <f>IF($D279="","Vazio",IF(LEN(SUBSTITUTE(SUBSTITUTE($D279&amp;"",".",""),"-",""))&lt;&gt;11,"Inválido","OK"))</f>
        <v>Inválido</v>
      </c>
      <c r="F279" s="39" t="str">
        <f>IF($D279="","Vazio",IF(COUNTIF($D$2:$D$369,$D279)&gt;1,"Duplicado","Único"))</f>
        <v>Único</v>
      </c>
      <c r="G279" s="40" t="str">
        <f>IF(TRIM(Base_Original!D279)="","",SUBSTITUTE(TRIM(Base_Original!D279),"anos",""))</f>
        <v>53</v>
      </c>
      <c r="H279" s="50">
        <f>IF($J279="","Vazio",DATEDIF($J279,DATE(2026,9,10),"Y"))</f>
        <v>53</v>
      </c>
      <c r="I27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79" s="33">
        <v>26744</v>
      </c>
      <c r="K279" s="42" t="s">
        <v>44</v>
      </c>
      <c r="L279" s="42" t="str">
        <f>PROPER(Base_Original!G279)</f>
        <v>Ilhas De Ferro</v>
      </c>
      <c r="M279" s="43">
        <v>26400</v>
      </c>
      <c r="N279" s="43">
        <f>IF(ISNUMBER(Base_Original!I279),Base_Original!I279,IF(RIGHT(Base_Original!I279,7)=" moedas",VALUE(LEFT(Base_Original!I279,LEN(Base_Original!I279)-7)),Base_Original!I279))</f>
        <v>9500</v>
      </c>
      <c r="O279" s="44" t="str">
        <f>IF(AND($N279&gt;50000,$Q279="Sim"),"Negada","Aprovada")</f>
        <v>Aprovada</v>
      </c>
      <c r="P279" s="45" t="str">
        <f>IF(AND($T279="Negada",$O279="Negada"),0,IF($B279="Ativo",$U279*8%,"0"))</f>
        <v>0</v>
      </c>
      <c r="Q279" s="46" t="str">
        <f>IF(OR(Base_Original!J279="Sim",Base_Original!J279="sim",Base_Original!J279="SIM"),"Sim",IF(OR(Base_Original!J279="Não",Base_Original!J279="não",Base_Original!J279="NÃO",Base_Original!J279="Nao"),"Não",IF(Base_Original!J279="","vazio",Base_Original!J279)))</f>
        <v>Não</v>
      </c>
      <c r="R279" s="46">
        <f>IF(ISNUMBER(Base_Original!K279),Base_Original!K279,IF(RIGHT(Base_Original!K279,9)=" batalhas",VALUE(LEFT(Base_Original!K279,LEN(Base_Original!K279)-9)),Base_Original!K279))</f>
        <v>21</v>
      </c>
      <c r="S279" s="42" t="str">
        <f>IF($R279="vazio","vazio",IF($R279&lt;=10,"Baixo",IF($R279&lt;=25,"Médio","Alto")))</f>
        <v>Médio</v>
      </c>
      <c r="T279" s="42" t="str">
        <f>IF(AND($S279="Alto",$Q279="Sim"),"Negada","Aprovada")</f>
        <v>Aprovada</v>
      </c>
      <c r="U279" s="43">
        <v>16000</v>
      </c>
    </row>
    <row r="280" spans="1:21">
      <c r="A280" s="47" t="s">
        <v>1134</v>
      </c>
      <c r="B280" s="37" t="str">
        <f>IF(Base_Original!A280="","vazio",IF(Base_Original!A280="ATIVO","Ativo",IF(Base_Original!A280="INATIVO","Inativo",Base_Original!A280)))</f>
        <v>Ativo</v>
      </c>
      <c r="C280" s="37" t="str">
        <f>PROPER(Base_Original!B280)</f>
        <v>Robert Stark</v>
      </c>
      <c r="D280" s="38" t="s">
        <v>607</v>
      </c>
      <c r="E280" s="39" t="str">
        <f>IF($D280="","Vazio",IF(LEN(SUBSTITUTE(SUBSTITUTE($D280&amp;"",".",""),"-",""))&lt;&gt;11,"Inválido","OK"))</f>
        <v>OK</v>
      </c>
      <c r="F280" s="39" t="str">
        <f>IF($D280="","Vazio",IF(COUNTIF($D$2:$D$369,$D280)&gt;1,"Duplicado","Único"))</f>
        <v>Único</v>
      </c>
      <c r="G280" s="40" t="str">
        <f>IF(TRIM(Base_Original!D280)="","",SUBSTITUTE(TRIM(Base_Original!D280),"anos",""))</f>
        <v>57</v>
      </c>
      <c r="H280" s="50">
        <f>IF($J280="","Vazio",DATEDIF($J280,DATE(2026,9,10),"Y"))</f>
        <v>57</v>
      </c>
      <c r="I28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80" s="33">
        <v>25350</v>
      </c>
      <c r="K280" s="42" t="s">
        <v>160</v>
      </c>
      <c r="L280" s="42" t="str">
        <f>PROPER(Base_Original!G280)</f>
        <v>Terras Fluviais</v>
      </c>
      <c r="M280" s="43">
        <v>20600</v>
      </c>
      <c r="N280" s="43">
        <f>IF(ISNUMBER(Base_Original!I280),Base_Original!I280,IF(RIGHT(Base_Original!I280,7)=" moedas",VALUE(LEFT(Base_Original!I280,LEN(Base_Original!I280)-7)),Base_Original!I280))</f>
        <v>52500</v>
      </c>
      <c r="O280" s="44" t="str">
        <f>IF(AND($N280&gt;50000,$Q280="Sim"),"Negada","Aprovada")</f>
        <v>Aprovada</v>
      </c>
      <c r="P280" s="45">
        <f>IF(AND($T280="Negada",$O280="Negada"),0,IF($B280="Ativo",$U280*8%,"0"))</f>
        <v>7760</v>
      </c>
      <c r="Q280" s="46" t="str">
        <f>IF(OR(Base_Original!J280="Sim",Base_Original!J280="sim",Base_Original!J280="SIM"),"Sim",IF(OR(Base_Original!J280="Não",Base_Original!J280="não",Base_Original!J280="NÃO",Base_Original!J280="Nao"),"Não",IF(Base_Original!J280="","vazio",Base_Original!J280)))</f>
        <v>vazio</v>
      </c>
      <c r="R280" s="46">
        <f>IF(ISNUMBER(Base_Original!K280),Base_Original!K280,IF(RIGHT(Base_Original!K280,9)=" batalhas",VALUE(LEFT(Base_Original!K280,LEN(Base_Original!K280)-9)),Base_Original!K280))</f>
        <v>16</v>
      </c>
      <c r="S280" s="42" t="str">
        <f>IF($R280="vazio","vazio",IF($R280&lt;=10,"Baixo",IF($R280&lt;=25,"Médio","Alto")))</f>
        <v>Médio</v>
      </c>
      <c r="T280" s="42" t="str">
        <f>IF(AND($S280="Alto",$Q280="Sim"),"Negada","Aprovada")</f>
        <v>Aprovada</v>
      </c>
      <c r="U280" s="43">
        <v>97000</v>
      </c>
    </row>
    <row r="281" spans="1:21">
      <c r="A281" s="47" t="s">
        <v>1135</v>
      </c>
      <c r="B281" s="37" t="str">
        <f>IF(Base_Original!A281="","vazio",IF(Base_Original!A281="ATIVO","Ativo",IF(Base_Original!A281="INATIVO","Inativo",Base_Original!A281)))</f>
        <v>Ativo</v>
      </c>
      <c r="C281" s="37" t="str">
        <f>PROPER(Base_Original!B281)</f>
        <v>Robert Tarth</v>
      </c>
      <c r="D281" s="38" t="s">
        <v>609</v>
      </c>
      <c r="E281" s="39" t="str">
        <f>IF($D281="","Vazio",IF(LEN(SUBSTITUTE(SUBSTITUTE($D281&amp;"",".",""),"-",""))&lt;&gt;11,"Inválido","OK"))</f>
        <v>OK</v>
      </c>
      <c r="F281" s="39" t="str">
        <f>IF($D281="","Vazio",IF(COUNTIF($D$2:$D$369,$D281)&gt;1,"Duplicado","Único"))</f>
        <v>Único</v>
      </c>
      <c r="G281" s="40" t="str">
        <f>IF(TRIM(Base_Original!D281)="","",SUBSTITUTE(TRIM(Base_Original!D281),"anos",""))</f>
        <v>27</v>
      </c>
      <c r="H281" s="50">
        <f>IF($J281="","Vazio",DATEDIF($J281,DATE(2026,9,10),"Y"))</f>
        <v>27</v>
      </c>
      <c r="I28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81" s="33">
        <v>36288</v>
      </c>
      <c r="K281" s="42" t="s">
        <v>242</v>
      </c>
      <c r="L281" s="42" t="str">
        <f>PROPER(Base_Original!G281)</f>
        <v>Norte</v>
      </c>
      <c r="M281" s="43">
        <v>29700</v>
      </c>
      <c r="N281" s="43">
        <f>IF(ISNUMBER(Base_Original!I281),Base_Original!I281,IF(RIGHT(Base_Original!I281,7)=" moedas",VALUE(LEFT(Base_Original!I281,LEN(Base_Original!I281)-7)),Base_Original!I281))</f>
        <v>12000</v>
      </c>
      <c r="O281" s="44" t="str">
        <f>IF(AND($N281&gt;50000,$Q281="Sim"),"Negada","Aprovada")</f>
        <v>Aprovada</v>
      </c>
      <c r="P281" s="45">
        <f>IF(AND($T281="Negada",$O281="Negada"),0,IF($B281="Ativo",$U281*8%,"0"))</f>
        <v>3920</v>
      </c>
      <c r="Q281" s="46" t="str">
        <f>IF(OR(Base_Original!J281="Sim",Base_Original!J281="sim",Base_Original!J281="SIM"),"Sim",IF(OR(Base_Original!J281="Não",Base_Original!J281="não",Base_Original!J281="NÃO",Base_Original!J281="Nao"),"Não",IF(Base_Original!J281="","vazio",Base_Original!J281)))</f>
        <v>Não</v>
      </c>
      <c r="R281" s="46">
        <f>IF(ISNUMBER(Base_Original!K281),Base_Original!K281,IF(RIGHT(Base_Original!K281,9)=" batalhas",VALUE(LEFT(Base_Original!K281,LEN(Base_Original!K281)-9)),Base_Original!K281))</f>
        <v>37</v>
      </c>
      <c r="S281" s="42" t="str">
        <f>IF($R281="vazio","vazio",IF($R281&lt;=10,"Baixo",IF($R281&lt;=25,"Médio","Alto")))</f>
        <v>Alto</v>
      </c>
      <c r="T281" s="42" t="str">
        <f>IF(AND($S281="Alto",$Q281="Sim"),"Negada","Aprovada")</f>
        <v>Aprovada</v>
      </c>
      <c r="U281" s="43">
        <v>49000</v>
      </c>
    </row>
    <row r="282" spans="1:21">
      <c r="A282" s="47" t="s">
        <v>1136</v>
      </c>
      <c r="B282" s="37" t="str">
        <f>IF(Base_Original!A282="","vazio",IF(Base_Original!A282="ATIVO","Ativo",IF(Base_Original!A282="INATIVO","Inativo",Base_Original!A282)))</f>
        <v>Ativo</v>
      </c>
      <c r="C282" s="37" t="str">
        <f>PROPER(Base_Original!B282)</f>
        <v>Robert Westerling</v>
      </c>
      <c r="D282" s="38" t="s">
        <v>611</v>
      </c>
      <c r="E282" s="39" t="str">
        <f>IF($D282="","Vazio",IF(LEN(SUBSTITUTE(SUBSTITUTE($D282&amp;"",".",""),"-",""))&lt;&gt;11,"Inválido","OK"))</f>
        <v>OK</v>
      </c>
      <c r="F282" s="39" t="str">
        <f>IF($D282="","Vazio",IF(COUNTIF($D$2:$D$369,$D282)&gt;1,"Duplicado","Único"))</f>
        <v>Único</v>
      </c>
      <c r="G282" s="40" t="str">
        <f>IF(TRIM(Base_Original!D282)="","",SUBSTITUTE(TRIM(Base_Original!D282),"anos",""))</f>
        <v>25</v>
      </c>
      <c r="H282" s="50">
        <f>IF($J282="","Vazio",DATEDIF($J282,DATE(2026,9,10),"Y"))</f>
        <v>25</v>
      </c>
      <c r="I28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82" s="33">
        <v>37118</v>
      </c>
      <c r="K282" s="42" t="s">
        <v>20</v>
      </c>
      <c r="L282" s="42" t="str">
        <f>PROPER(Base_Original!G282)</f>
        <v>Campina</v>
      </c>
      <c r="M282" s="43">
        <v>27300</v>
      </c>
      <c r="N282" s="43">
        <f>IF(ISNUMBER(Base_Original!I282),Base_Original!I282,IF(RIGHT(Base_Original!I282,7)=" moedas",VALUE(LEFT(Base_Original!I282,LEN(Base_Original!I282)-7)),Base_Original!I282))</f>
        <v>1500</v>
      </c>
      <c r="O282" s="44" t="str">
        <f>IF(AND($N282&gt;50000,$Q282="Sim"),"Negada","Aprovada")</f>
        <v>Aprovada</v>
      </c>
      <c r="P282" s="45">
        <f>IF(AND($T282="Negada",$O282="Negada"),0,IF($B282="Ativo",$U282*8%,"0"))</f>
        <v>1120</v>
      </c>
      <c r="Q282" s="46">
        <f>IF(OR(Base_Original!J282="Sim",Base_Original!J282="sim",Base_Original!J282="SIM"),"Sim",IF(OR(Base_Original!J282="Não",Base_Original!J282="não",Base_Original!J282="NÃO",Base_Original!J282="Nao"),"Não",IF(Base_Original!J282="","vazio",Base_Original!J282)))</f>
        <v>1</v>
      </c>
      <c r="R282" s="46">
        <f>IF(ISNUMBER(Base_Original!K282),Base_Original!K282,IF(RIGHT(Base_Original!K282,9)=" batalhas",VALUE(LEFT(Base_Original!K282,LEN(Base_Original!K282)-9)),Base_Original!K282))</f>
        <v>33</v>
      </c>
      <c r="S282" s="42" t="str">
        <f>IF($R282="vazio","vazio",IF($R282&lt;=10,"Baixo",IF($R282&lt;=25,"Médio","Alto")))</f>
        <v>Alto</v>
      </c>
      <c r="T282" s="42" t="str">
        <f>IF(AND($S282="Alto",$Q282="Sim"),"Negada","Aprovada")</f>
        <v>Aprovada</v>
      </c>
      <c r="U282" s="43">
        <v>14000</v>
      </c>
    </row>
    <row r="283" spans="1:21">
      <c r="A283" s="47" t="s">
        <v>1137</v>
      </c>
      <c r="B283" s="37" t="str">
        <f>IF(Base_Original!A283="","vazio",IF(Base_Original!A283="ATIVO","Ativo",IF(Base_Original!A283="INATIVO","Inativo",Base_Original!A283)))</f>
        <v>Ativo</v>
      </c>
      <c r="C283" s="37" t="str">
        <f>PROPER(Base_Original!B283)</f>
        <v>Robert Yronwood</v>
      </c>
      <c r="D283" s="38" t="s">
        <v>614</v>
      </c>
      <c r="E283" s="39" t="str">
        <f>IF($D283="","Vazio",IF(LEN(SUBSTITUTE(SUBSTITUTE($D283&amp;"",".",""),"-",""))&lt;&gt;11,"Inválido","OK"))</f>
        <v>OK</v>
      </c>
      <c r="F283" s="39" t="str">
        <f>IF($D283="","Vazio",IF(COUNTIF($D$2:$D$369,$D283)&gt;1,"Duplicado","Único"))</f>
        <v>Único</v>
      </c>
      <c r="G283" s="40" t="str">
        <f>IF(TRIM(Base_Original!D283)="","",SUBSTITUTE(TRIM(Base_Original!D283),"anos",""))</f>
        <v>67</v>
      </c>
      <c r="H283" s="50">
        <f>IF($J283="","Vazio",DATEDIF($J283,DATE(2026,9,10),"Y"))</f>
        <v>67</v>
      </c>
      <c r="I28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83" s="33">
        <v>21624</v>
      </c>
      <c r="K283" s="42" t="s">
        <v>242</v>
      </c>
      <c r="L283" s="42" t="str">
        <f>PROPER(Base_Original!G283)</f>
        <v>Norte</v>
      </c>
      <c r="M283" s="43">
        <v>8500</v>
      </c>
      <c r="N283" s="43">
        <f>IF(ISNUMBER(Base_Original!I283),Base_Original!I283,IF(RIGHT(Base_Original!I283,7)=" moedas",VALUE(LEFT(Base_Original!I283,LEN(Base_Original!I283)-7)),Base_Original!I283))</f>
        <v>39500</v>
      </c>
      <c r="O283" s="44" t="str">
        <f>IF(AND($N283&gt;50000,$Q283="Sim"),"Negada","Aprovada")</f>
        <v>Aprovada</v>
      </c>
      <c r="P283" s="45">
        <f>IF(AND($T283="Negada",$O283="Negada"),0,IF($B283="Ativo",$U283*8%,"0"))</f>
        <v>3360</v>
      </c>
      <c r="Q283" s="46" t="str">
        <f>IF(OR(Base_Original!J283="Sim",Base_Original!J283="sim",Base_Original!J283="SIM"),"Sim",IF(OR(Base_Original!J283="Não",Base_Original!J283="não",Base_Original!J283="NÃO",Base_Original!J283="Nao"),"Não",IF(Base_Original!J283="","vazio",Base_Original!J283)))</f>
        <v>Sim</v>
      </c>
      <c r="R283" s="46" t="s">
        <v>880</v>
      </c>
      <c r="S283" s="42" t="str">
        <f>IF($R283="vazio","vazio",IF($R283&lt;=10,"Baixo",IF($R283&lt;=25,"Médio","Alto")))</f>
        <v>vazio</v>
      </c>
      <c r="T283" s="42" t="str">
        <f>IF(AND($S283="Alto",$Q283="Sim"),"Negada","Aprovada")</f>
        <v>Aprovada</v>
      </c>
      <c r="U283" s="43">
        <v>42000</v>
      </c>
    </row>
    <row r="284" spans="1:21">
      <c r="A284" s="47" t="s">
        <v>1138</v>
      </c>
      <c r="B284" s="37" t="str">
        <f>IF(Base_Original!A284="","vazio",IF(Base_Original!A284="ATIVO","Ativo",IF(Base_Original!A284="INATIVO","Inativo",Base_Original!A284)))</f>
        <v>Ativo</v>
      </c>
      <c r="C284" s="37" t="str">
        <f>PROPER(Base_Original!B284)</f>
        <v>Roose Bolton</v>
      </c>
      <c r="D284" s="38">
        <v>13700</v>
      </c>
      <c r="E284" s="39" t="str">
        <f>IF($D284="","Vazio",IF(LEN(SUBSTITUTE(SUBSTITUTE($D284&amp;"",".",""),"-",""))&lt;&gt;11,"Inválido","OK"))</f>
        <v>Inválido</v>
      </c>
      <c r="F284" s="39" t="str">
        <f>IF($D284="","Vazio",IF(COUNTIF($D$2:$D$369,$D284)&gt;1,"Duplicado","Único"))</f>
        <v>Único</v>
      </c>
      <c r="G284" s="40" t="str">
        <f>IF(TRIM(Base_Original!D284)="","",SUBSTITUTE(TRIM(Base_Original!D284),"anos",""))</f>
        <v>73</v>
      </c>
      <c r="H284" s="50">
        <f>IF($J284="","Vazio",DATEDIF($J284,DATE(2026,9,10),"Y"))</f>
        <v>73</v>
      </c>
      <c r="I28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84" s="33">
        <v>19323</v>
      </c>
      <c r="K284" s="42" t="s">
        <v>150</v>
      </c>
      <c r="L284" s="42" t="str">
        <f>PROPER(Base_Original!G284)</f>
        <v>Gargalo</v>
      </c>
      <c r="M284" s="43">
        <v>18100</v>
      </c>
      <c r="N284" s="43">
        <f>IF(ISNUMBER(Base_Original!I284),Base_Original!I284,IF(RIGHT(Base_Original!I284,7)=" moedas",VALUE(LEFT(Base_Original!I284,LEN(Base_Original!I284)-7)),Base_Original!I284))</f>
        <v>0</v>
      </c>
      <c r="O284" s="44" t="str">
        <f>IF(AND($N284&gt;50000,$Q284="Sim"),"Negada","Aprovada")</f>
        <v>Aprovada</v>
      </c>
      <c r="P284" s="45">
        <f>IF(AND($T284="Negada",$O284="Negada"),0,IF($B284="Ativo",$U284*8%,"0"))</f>
        <v>7120</v>
      </c>
      <c r="Q284" s="46" t="str">
        <f>IF(OR(Base_Original!J284="Sim",Base_Original!J284="sim",Base_Original!J284="SIM"),"Sim",IF(OR(Base_Original!J284="Não",Base_Original!J284="não",Base_Original!J284="NÃO",Base_Original!J284="Nao"),"Não",IF(Base_Original!J284="","vazio",Base_Original!J284)))</f>
        <v>Não</v>
      </c>
      <c r="R284" s="46">
        <f>IF(ISNUMBER(Base_Original!K284),Base_Original!K284,IF(RIGHT(Base_Original!K284,9)=" batalhas",VALUE(LEFT(Base_Original!K284,LEN(Base_Original!K284)-9)),Base_Original!K284))</f>
        <v>36</v>
      </c>
      <c r="S284" s="42" t="str">
        <f>IF($R284="vazio","vazio",IF($R284&lt;=10,"Baixo",IF($R284&lt;=25,"Médio","Alto")))</f>
        <v>Alto</v>
      </c>
      <c r="T284" s="42" t="str">
        <f>IF(AND($S284="Alto",$Q284="Sim"),"Negada","Aprovada")</f>
        <v>Aprovada</v>
      </c>
      <c r="U284" s="43">
        <v>89000</v>
      </c>
    </row>
    <row r="285" spans="1:21">
      <c r="A285" s="47" t="s">
        <v>1139</v>
      </c>
      <c r="B285" s="37" t="str">
        <f>IF(Base_Original!A285="","vazio",IF(Base_Original!A285="ATIVO","Ativo",IF(Base_Original!A285="INATIVO","Inativo",Base_Original!A285)))</f>
        <v>Ativo</v>
      </c>
      <c r="C285" s="37" t="str">
        <f>PROPER(Base_Original!B285)</f>
        <v>Roose Bracken</v>
      </c>
      <c r="D285" s="38">
        <v>18800</v>
      </c>
      <c r="E285" s="39" t="str">
        <f>IF($D285="","Vazio",IF(LEN(SUBSTITUTE(SUBSTITUTE($D285&amp;"",".",""),"-",""))&lt;&gt;11,"Inválido","OK"))</f>
        <v>Inválido</v>
      </c>
      <c r="F285" s="39" t="str">
        <f>IF($D285="","Vazio",IF(COUNTIF($D$2:$D$369,$D285)&gt;1,"Duplicado","Único"))</f>
        <v>Único</v>
      </c>
      <c r="G285" s="40" t="str">
        <f>IF(TRIM(Base_Original!D285)="","",SUBSTITUTE(TRIM(Base_Original!D285),"anos",""))</f>
        <v>43</v>
      </c>
      <c r="H285" s="50">
        <f>IF($J285="","Vazio",DATEDIF($J285,DATE(2026,9,10),"Y"))</f>
        <v>43</v>
      </c>
      <c r="I28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85" s="33">
        <v>30355</v>
      </c>
      <c r="K285" s="42" t="s">
        <v>75</v>
      </c>
      <c r="L285" s="42" t="str">
        <f>PROPER(Base_Original!G285)</f>
        <v>Norte</v>
      </c>
      <c r="M285" s="43">
        <v>21700</v>
      </c>
      <c r="N285" s="43">
        <f>IF(ISNUMBER(Base_Original!I285),Base_Original!I285,IF(RIGHT(Base_Original!I285,7)=" moedas",VALUE(LEFT(Base_Original!I285,LEN(Base_Original!I285)-7)),Base_Original!I285))</f>
        <v>31000</v>
      </c>
      <c r="O285" s="44" t="str">
        <f>IF(AND($N285&gt;50000,$Q285="Sim"),"Negada","Aprovada")</f>
        <v>Aprovada</v>
      </c>
      <c r="P285" s="45">
        <f>IF(AND($T285="Negada",$O285="Negada"),0,IF($B285="Ativo",$U285*8%,"0"))</f>
        <v>3640</v>
      </c>
      <c r="Q285" s="46" t="str">
        <f>IF(OR(Base_Original!J285="Sim",Base_Original!J285="sim",Base_Original!J285="SIM"),"Sim",IF(OR(Base_Original!J285="Não",Base_Original!J285="não",Base_Original!J285="NÃO",Base_Original!J285="Nao"),"Não",IF(Base_Original!J285="","vazio",Base_Original!J285)))</f>
        <v>Não</v>
      </c>
      <c r="R285" s="46">
        <f>IF(ISNUMBER(Base_Original!K285),Base_Original!K285,IF(RIGHT(Base_Original!K285,9)=" batalhas",VALUE(LEFT(Base_Original!K285,LEN(Base_Original!K285)-9)),Base_Original!K285))</f>
        <v>27</v>
      </c>
      <c r="S285" s="42" t="str">
        <f>IF($R285="vazio","vazio",IF($R285&lt;=10,"Baixo",IF($R285&lt;=25,"Médio","Alto")))</f>
        <v>Alto</v>
      </c>
      <c r="T285" s="42" t="str">
        <f>IF(AND($S285="Alto",$Q285="Sim"),"Negada","Aprovada")</f>
        <v>Aprovada</v>
      </c>
      <c r="U285" s="43">
        <v>45500</v>
      </c>
    </row>
    <row r="286" spans="1:21">
      <c r="A286" s="47" t="s">
        <v>1140</v>
      </c>
      <c r="B286" s="37" t="str">
        <f>IF(Base_Original!A287="","vazio",IF(Base_Original!A287="ATIVO","Ativo",IF(Base_Original!A287="INATIVO","Inativo",Base_Original!A287)))</f>
        <v>loqueado</v>
      </c>
      <c r="C286" s="37" t="str">
        <f>PROPER(Base_Original!B287)</f>
        <v>Roose Cerwyn</v>
      </c>
      <c r="D286" s="38" t="s">
        <v>621</v>
      </c>
      <c r="E286" s="39" t="str">
        <f>IF($D286="","Vazio",IF(LEN(SUBSTITUTE(SUBSTITUTE($D286&amp;"",".",""),"-",""))&lt;&gt;11,"Inválido","OK"))</f>
        <v>OK</v>
      </c>
      <c r="F286" s="39" t="str">
        <f>IF($D286="","Vazio",IF(COUNTIF($D$2:$D$369,$D286)&gt;1,"Duplicado","Único"))</f>
        <v>Único</v>
      </c>
      <c r="G286" s="40" t="str">
        <f>IF(TRIM(Base_Original!D286)="","",SUBSTITUTE(TRIM(Base_Original!D286),"anos",""))</f>
        <v xml:space="preserve">32 </v>
      </c>
      <c r="H286" s="50">
        <f>IF($J286="","Vazio",DATEDIF($J286,DATE(2026,9,10),"Y"))</f>
        <v>32</v>
      </c>
      <c r="I28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86" s="33">
        <v>34387</v>
      </c>
      <c r="K286" s="42" t="s">
        <v>101</v>
      </c>
      <c r="L286" s="42" t="str">
        <f>PROPER(Base_Original!G287)</f>
        <v>Campina</v>
      </c>
      <c r="M286" s="43">
        <v>17300</v>
      </c>
      <c r="N286" s="43">
        <f>IF(ISNUMBER(Base_Original!I287),Base_Original!I287,IF(RIGHT(Base_Original!I287,7)=" moedas",VALUE(LEFT(Base_Original!I287,LEN(Base_Original!I287)-7)),Base_Original!I287))</f>
        <v>22000</v>
      </c>
      <c r="O286" s="44" t="str">
        <f>IF(AND($N286&gt;50000,$Q286="Sim"),"Negada","Aprovada")</f>
        <v>Aprovada</v>
      </c>
      <c r="P286" s="45" t="str">
        <f>IF(AND($T286="Negada",$O286="Negada"),0,IF($B286="Ativo",$U286*8%,"0"))</f>
        <v>0</v>
      </c>
      <c r="Q286" s="46" t="str">
        <f>IF(OR(Base_Original!J287="Sim",Base_Original!J287="sim",Base_Original!J287="SIM"),"Sim",IF(OR(Base_Original!J287="Não",Base_Original!J287="não",Base_Original!J287="NÃO",Base_Original!J287="Nao"),"Não",IF(Base_Original!J287="","vazio",Base_Original!J287)))</f>
        <v>Não</v>
      </c>
      <c r="R286" s="46">
        <f>IF(ISNUMBER(Base_Original!K287),Base_Original!K287,IF(RIGHT(Base_Original!K287,9)=" batalhas",VALUE(LEFT(Base_Original!K287,LEN(Base_Original!K287)-9)),Base_Original!K287))</f>
        <v>10</v>
      </c>
      <c r="S286" s="42" t="str">
        <f>IF($R286="vazio","vazio",IF($R286&lt;=10,"Baixo",IF($R286&lt;=25,"Médio","Alto")))</f>
        <v>Baixo</v>
      </c>
      <c r="T286" s="42" t="str">
        <f>IF(AND($S286="Alto",$Q286="Sim"),"Negada","Aprovada")</f>
        <v>Aprovada</v>
      </c>
      <c r="U286" s="43">
        <v>97000</v>
      </c>
    </row>
    <row r="287" spans="1:21">
      <c r="A287" s="47" t="s">
        <v>1141</v>
      </c>
      <c r="B287" s="37" t="str">
        <f>IF(Base_Original!A286="","vazio",IF(Base_Original!A286="ATIVO","Ativo",IF(Base_Original!A286="INATIVO","Inativo",Base_Original!A286)))</f>
        <v>Inativo</v>
      </c>
      <c r="C287" s="37" t="str">
        <f>PROPER(Base_Original!B286)</f>
        <v>Roose Cerwyn</v>
      </c>
      <c r="D287" s="38">
        <v>34900</v>
      </c>
      <c r="E287" s="39" t="str">
        <f>IF($D287="","Vazio",IF(LEN(SUBSTITUTE(SUBSTITUTE($D287&amp;"",".",""),"-",""))&lt;&gt;11,"Inválido","OK"))</f>
        <v>Inválido</v>
      </c>
      <c r="F287" s="39" t="str">
        <f>IF($D287="","Vazio",IF(COUNTIF($D$2:$D$369,$D287)&gt;1,"Duplicado","Único"))</f>
        <v>Único</v>
      </c>
      <c r="G287" s="40" t="str">
        <f>IF(TRIM(Base_Original!D287)="","",SUBSTITUTE(TRIM(Base_Original!D287),"anos",""))</f>
        <v>63</v>
      </c>
      <c r="H287" s="50">
        <f>IF($J287="","Vazio",DATEDIF($J287,DATE(2026,9,10),"Y"))</f>
        <v>63</v>
      </c>
      <c r="I28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87" s="33">
        <v>23084</v>
      </c>
      <c r="K287" s="42" t="s">
        <v>40</v>
      </c>
      <c r="L287" s="42" t="str">
        <f>PROPER(Base_Original!G286)</f>
        <v>Norte</v>
      </c>
      <c r="M287" s="43">
        <v>20500</v>
      </c>
      <c r="N287" s="43">
        <f>IF(ISNUMBER(Base_Original!I286),Base_Original!I286,IF(RIGHT(Base_Original!I286,7)=" moedas",VALUE(LEFT(Base_Original!I286,LEN(Base_Original!I286)-7)),Base_Original!I286))</f>
        <v>0</v>
      </c>
      <c r="O287" s="44" t="str">
        <f>IF(AND($N287&gt;50000,$Q287="Sim"),"Negada","Aprovada")</f>
        <v>Aprovada</v>
      </c>
      <c r="P287" s="45" t="str">
        <f>IF(AND($T287="Negada",$O287="Negada"),0,IF($B287="Ativo",$U287*8%,"0"))</f>
        <v>0</v>
      </c>
      <c r="Q287" s="46" t="str">
        <f>IF(OR(Base_Original!J286="Sim",Base_Original!J286="sim",Base_Original!J286="SIM"),"Sim",IF(OR(Base_Original!J286="Não",Base_Original!J286="não",Base_Original!J286="NÃO",Base_Original!J286="Nao"),"Não",IF(Base_Original!J286="","vazio",Base_Original!J286)))</f>
        <v>Não</v>
      </c>
      <c r="R287" s="46">
        <f>IF(ISNUMBER(Base_Original!K286),Base_Original!K286,IF(RIGHT(Base_Original!K286,9)=" batalhas",VALUE(LEFT(Base_Original!K286,LEN(Base_Original!K286)-9)),Base_Original!K286))</f>
        <v>41</v>
      </c>
      <c r="S287" s="42" t="str">
        <f>IF($R287="vazio","vazio",IF($R287&lt;=10,"Baixo",IF($R287&lt;=25,"Médio","Alto")))</f>
        <v>Alto</v>
      </c>
      <c r="T287" s="42" t="str">
        <f>IF(AND($S287="Alto",$Q287="Sim"),"Negada","Aprovada")</f>
        <v>Aprovada</v>
      </c>
      <c r="U287" s="43">
        <v>54500</v>
      </c>
    </row>
    <row r="288" spans="1:21">
      <c r="A288" s="47" t="s">
        <v>1142</v>
      </c>
      <c r="B288" s="37" t="str">
        <f>IF(Base_Original!A288="","vazio",IF(Base_Original!A288="ATIVO","Ativo",IF(Base_Original!A288="INATIVO","Inativo",Base_Original!A288)))</f>
        <v>Ativo</v>
      </c>
      <c r="C288" s="37" t="str">
        <f>PROPER(Base_Original!B288)</f>
        <v>Roose Dondarrion</v>
      </c>
      <c r="D288" s="38" t="s">
        <v>623</v>
      </c>
      <c r="E288" s="39" t="str">
        <f>IF($D288="","Vazio",IF(LEN(SUBSTITUTE(SUBSTITUTE($D288&amp;"",".",""),"-",""))&lt;&gt;11,"Inválido","OK"))</f>
        <v>OK</v>
      </c>
      <c r="F288" s="39" t="str">
        <f>IF($D288="","Vazio",IF(COUNTIF($D$2:$D$369,$D288)&gt;1,"Duplicado","Único"))</f>
        <v>Único</v>
      </c>
      <c r="G288" s="40" t="str">
        <f>IF(TRIM(Base_Original!D288)="","",SUBSTITUTE(TRIM(Base_Original!D288),"anos",""))</f>
        <v>53</v>
      </c>
      <c r="H288" s="50">
        <f>IF($J288="","Vazio",DATEDIF($J288,DATE(2026,9,10),"Y"))</f>
        <v>53</v>
      </c>
      <c r="I28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88" s="33">
        <v>26620</v>
      </c>
      <c r="K288" s="42" t="s">
        <v>51</v>
      </c>
      <c r="L288" s="42" t="str">
        <f>PROPER(Base_Original!G288)</f>
        <v>Vale</v>
      </c>
      <c r="M288" s="43">
        <v>21300</v>
      </c>
      <c r="N288" s="43">
        <f>IF(ISNUMBER(Base_Original!I288),Base_Original!I288,IF(RIGHT(Base_Original!I288,7)=" moedas",VALUE(LEFT(Base_Original!I288,LEN(Base_Original!I288)-7)),Base_Original!I288))</f>
        <v>79500</v>
      </c>
      <c r="O288" s="44" t="str">
        <f>IF(AND($N288&gt;50000,$Q288="Sim"),"Negada","Aprovada")</f>
        <v>Aprovada</v>
      </c>
      <c r="P288" s="45">
        <f>IF(AND($T288="Negada",$O288="Negada"),0,IF($B288="Ativo",$U288*8%,"0"))</f>
        <v>1520</v>
      </c>
      <c r="Q288" s="46" t="str">
        <f>IF(OR(Base_Original!J288="Sim",Base_Original!J288="sim",Base_Original!J288="SIM"),"Sim",IF(OR(Base_Original!J288="Não",Base_Original!J288="não",Base_Original!J288="NÃO",Base_Original!J288="Nao"),"Não",IF(Base_Original!J288="","vazio",Base_Original!J288)))</f>
        <v>Não</v>
      </c>
      <c r="R288" s="46">
        <f>IF(ISNUMBER(Base_Original!K288),Base_Original!K288,IF(RIGHT(Base_Original!K288,9)=" batalhas",VALUE(LEFT(Base_Original!K288,LEN(Base_Original!K288)-9)),Base_Original!K288))</f>
        <v>18</v>
      </c>
      <c r="S288" s="42" t="str">
        <f>IF($R288="vazio","vazio",IF($R288&lt;=10,"Baixo",IF($R288&lt;=25,"Médio","Alto")))</f>
        <v>Médio</v>
      </c>
      <c r="T288" s="42" t="str">
        <f>IF(AND($S288="Alto",$Q288="Sim"),"Negada","Aprovada")</f>
        <v>Aprovada</v>
      </c>
      <c r="U288" s="43">
        <v>19000</v>
      </c>
    </row>
    <row r="289" spans="1:21">
      <c r="A289" s="47" t="s">
        <v>1143</v>
      </c>
      <c r="B289" s="37" t="str">
        <f>IF(Base_Original!A289="","vazio",IF(Base_Original!A289="ATIVO","Ativo",IF(Base_Original!A289="INATIVO","Inativo",Base_Original!A289)))</f>
        <v>Ativo</v>
      </c>
      <c r="C289" s="37" t="str">
        <f>PROPER(Base_Original!B289)</f>
        <v>Roose Manderly</v>
      </c>
      <c r="D289" s="38">
        <v>15400</v>
      </c>
      <c r="E289" s="39" t="str">
        <f>IF($D289="","Vazio",IF(LEN(SUBSTITUTE(SUBSTITUTE($D289&amp;"",".",""),"-",""))&lt;&gt;11,"Inválido","OK"))</f>
        <v>Inválido</v>
      </c>
      <c r="F289" s="39" t="str">
        <f>IF($D289="","Vazio",IF(COUNTIF($D$2:$D$369,$D289)&gt;1,"Duplicado","Único"))</f>
        <v>Único</v>
      </c>
      <c r="G289" s="40" t="str">
        <f>IF(TRIM(Base_Original!D289)="","",SUBSTITUTE(TRIM(Base_Original!D289),"anos",""))</f>
        <v>42</v>
      </c>
      <c r="H289" s="50">
        <f>IF($J289="","Vazio",DATEDIF($J289,DATE(2026,9,10),"Y"))</f>
        <v>42</v>
      </c>
      <c r="I28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89" s="33">
        <v>30642</v>
      </c>
      <c r="K289" s="42" t="s">
        <v>34</v>
      </c>
      <c r="L289" s="42" t="str">
        <f>PROPER(Base_Original!G289)</f>
        <v>Dorne</v>
      </c>
      <c r="M289" s="43" t="s">
        <v>113</v>
      </c>
      <c r="N289" s="43">
        <f>IF(ISNUMBER(Base_Original!I289),Base_Original!I289,IF(RIGHT(Base_Original!I289,7)=" moedas",VALUE(LEFT(Base_Original!I289,LEN(Base_Original!I289)-7)),Base_Original!I289))</f>
        <v>19500</v>
      </c>
      <c r="O289" s="44" t="str">
        <f>IF(AND($N289&gt;50000,$Q289="Sim"),"Negada","Aprovada")</f>
        <v>Aprovada</v>
      </c>
      <c r="P289" s="45">
        <f>IF(AND($T289="Negada",$O289="Negada"),0,IF($B289="Ativo",$U289*8%,"0"))</f>
        <v>7160</v>
      </c>
      <c r="Q289" s="46" t="str">
        <f>IF(OR(Base_Original!J289="Sim",Base_Original!J289="sim",Base_Original!J289="SIM"),"Sim",IF(OR(Base_Original!J289="Não",Base_Original!J289="não",Base_Original!J289="NÃO",Base_Original!J289="Nao"),"Não",IF(Base_Original!J289="","vazio",Base_Original!J289)))</f>
        <v>Não</v>
      </c>
      <c r="R289" s="46">
        <f>IF(ISNUMBER(Base_Original!K289),Base_Original!K289,IF(RIGHT(Base_Original!K289,9)=" batalhas",VALUE(LEFT(Base_Original!K289,LEN(Base_Original!K289)-9)),Base_Original!K289))</f>
        <v>42</v>
      </c>
      <c r="S289" s="42" t="str">
        <f>IF($R289="vazio","vazio",IF($R289&lt;=10,"Baixo",IF($R289&lt;=25,"Médio","Alto")))</f>
        <v>Alto</v>
      </c>
      <c r="T289" s="42" t="str">
        <f>IF(AND($S289="Alto",$Q289="Sim"),"Negada","Aprovada")</f>
        <v>Aprovada</v>
      </c>
      <c r="U289" s="43">
        <v>89500</v>
      </c>
    </row>
    <row r="290" spans="1:21">
      <c r="A290" s="47" t="s">
        <v>1144</v>
      </c>
      <c r="B290" s="37" t="str">
        <f>IF(Base_Original!A290="","vazio",IF(Base_Original!A290="ATIVO","Ativo",IF(Base_Original!A290="INATIVO","Inativo",Base_Original!A290)))</f>
        <v>Inativo</v>
      </c>
      <c r="C290" s="37" t="str">
        <f>PROPER(Base_Original!B290)</f>
        <v>Samwell Glover</v>
      </c>
      <c r="D290" s="38">
        <v>16000</v>
      </c>
      <c r="E290" s="39" t="str">
        <f>IF($D290="","Vazio",IF(LEN(SUBSTITUTE(SUBSTITUTE($D290&amp;"",".",""),"-",""))&lt;&gt;11,"Inválido","OK"))</f>
        <v>Inválido</v>
      </c>
      <c r="F290" s="39" t="str">
        <f>IF($D290="","Vazio",IF(COUNTIF($D$2:$D$369,$D290)&gt;1,"Duplicado","Único"))</f>
        <v>Único</v>
      </c>
      <c r="G290" s="40" t="str">
        <f>IF(TRIM(Base_Original!D290)="","",SUBSTITUTE(TRIM(Base_Original!D290),"anos",""))</f>
        <v>73</v>
      </c>
      <c r="H290" s="50">
        <f>IF($J290="","Vazio",DATEDIF($J290,DATE(2026,9,10),"Y"))</f>
        <v>73</v>
      </c>
      <c r="I29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90" s="33">
        <v>19299</v>
      </c>
      <c r="K290" s="42" t="s">
        <v>180</v>
      </c>
      <c r="L290" s="42" t="str">
        <f>PROPER(Base_Original!G290)</f>
        <v>Terras Da Tempestade</v>
      </c>
      <c r="M290" s="43">
        <v>7100</v>
      </c>
      <c r="N290" s="43">
        <f>IF(ISNUMBER(Base_Original!I290),Base_Original!I290,IF(RIGHT(Base_Original!I290,7)=" moedas",VALUE(LEFT(Base_Original!I290,LEN(Base_Original!I290)-7)),Base_Original!I290))</f>
        <v>58000</v>
      </c>
      <c r="O290" s="44" t="str">
        <f>IF(AND($N290&gt;50000,$Q290="Sim"),"Negada","Aprovada")</f>
        <v>Negada</v>
      </c>
      <c r="P290" s="45" t="str">
        <f>IF(AND($T290="Negada",$O290="Negada"),0,IF($B290="Ativo",$U290*8%,"0"))</f>
        <v>0</v>
      </c>
      <c r="Q290" s="46" t="str">
        <f>IF(OR(Base_Original!J290="Sim",Base_Original!J290="sim",Base_Original!J290="SIM"),"Sim",IF(OR(Base_Original!J290="Não",Base_Original!J290="não",Base_Original!J290="NÃO",Base_Original!J290="Nao"),"Não",IF(Base_Original!J290="","vazio",Base_Original!J290)))</f>
        <v>Sim</v>
      </c>
      <c r="R290" s="46">
        <f>IF(ISNUMBER(Base_Original!K290),Base_Original!K290,IF(RIGHT(Base_Original!K290,9)=" batalhas",VALUE(LEFT(Base_Original!K290,LEN(Base_Original!K290)-9)),Base_Original!K290))</f>
        <v>22</v>
      </c>
      <c r="S290" s="42" t="str">
        <f>IF($R290="vazio","vazio",IF($R290&lt;=10,"Baixo",IF($R290&lt;=25,"Médio","Alto")))</f>
        <v>Médio</v>
      </c>
      <c r="T290" s="42" t="str">
        <f>IF(AND($S290="Alto",$Q290="Sim"),"Negada","Aprovada")</f>
        <v>Aprovada</v>
      </c>
      <c r="U290" s="43">
        <v>46500</v>
      </c>
    </row>
    <row r="291" spans="1:21">
      <c r="A291" s="47" t="s">
        <v>1145</v>
      </c>
      <c r="B291" s="37" t="str">
        <f>IF(Base_Original!A291="","vazio",IF(Base_Original!A291="ATIVO","Ativo",IF(Base_Original!A291="INATIVO","Inativo",Base_Original!A291)))</f>
        <v>Ativo</v>
      </c>
      <c r="C291" s="37" t="str">
        <f>PROPER(Base_Original!B291)</f>
        <v>Samwell Yronwood</v>
      </c>
      <c r="D291" s="38" t="s">
        <v>627</v>
      </c>
      <c r="E291" s="39" t="str">
        <f>IF($D291="","Vazio",IF(LEN(SUBSTITUTE(SUBSTITUTE($D291&amp;"",".",""),"-",""))&lt;&gt;11,"Inválido","OK"))</f>
        <v>OK</v>
      </c>
      <c r="F291" s="39" t="str">
        <f>IF($D291="","Vazio",IF(COUNTIF($D$2:$D$369,$D291)&gt;1,"Duplicado","Único"))</f>
        <v>Único</v>
      </c>
      <c r="G291" s="40" t="str">
        <f>IF(TRIM(Base_Original!D291)="","",SUBSTITUTE(TRIM(Base_Original!D291),"anos",""))</f>
        <v>29</v>
      </c>
      <c r="H291" s="50">
        <f>IF($J291="","Vazio",DATEDIF($J291,DATE(2026,9,10),"Y"))</f>
        <v>29</v>
      </c>
      <c r="I29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91" s="33">
        <v>35323</v>
      </c>
      <c r="K291" s="42" t="s">
        <v>20</v>
      </c>
      <c r="L291" s="42" t="str">
        <f>PROPER(Base_Original!G291)</f>
        <v>Campina</v>
      </c>
      <c r="M291" s="43">
        <v>21200</v>
      </c>
      <c r="N291" s="43">
        <f>IF(ISNUMBER(Base_Original!I291),Base_Original!I291,IF(RIGHT(Base_Original!I291,7)=" moedas",VALUE(LEFT(Base_Original!I291,LEN(Base_Original!I291)-7)),Base_Original!I291))</f>
        <v>75000</v>
      </c>
      <c r="O291" s="44" t="str">
        <f>IF(AND($N291&gt;50000,$Q291="Sim"),"Negada","Aprovada")</f>
        <v>Aprovada</v>
      </c>
      <c r="P291" s="45">
        <f>IF(AND($T291="Negada",$O291="Negada"),0,IF($B291="Ativo",$U291*8%,"0"))</f>
        <v>5080</v>
      </c>
      <c r="Q291" s="46" t="str">
        <f>IF(OR(Base_Original!J291="Sim",Base_Original!J291="sim",Base_Original!J291="SIM"),"Sim",IF(OR(Base_Original!J291="Não",Base_Original!J291="não",Base_Original!J291="NÃO",Base_Original!J291="Nao"),"Não",IF(Base_Original!J291="","vazio",Base_Original!J291)))</f>
        <v>Não</v>
      </c>
      <c r="R291" s="46">
        <f>IF(ISNUMBER(Base_Original!K291),Base_Original!K291,IF(RIGHT(Base_Original!K291,9)=" batalhas",VALUE(LEFT(Base_Original!K291,LEN(Base_Original!K291)-9)),Base_Original!K291))</f>
        <v>6</v>
      </c>
      <c r="S291" s="42" t="str">
        <f>IF($R291="vazio","vazio",IF($R291&lt;=10,"Baixo",IF($R291&lt;=25,"Médio","Alto")))</f>
        <v>Baixo</v>
      </c>
      <c r="T291" s="42" t="str">
        <f>IF(AND($S291="Alto",$Q291="Sim"),"Negada","Aprovada")</f>
        <v>Aprovada</v>
      </c>
      <c r="U291" s="43">
        <v>63500</v>
      </c>
    </row>
    <row r="292" spans="1:21">
      <c r="A292" s="47" t="s">
        <v>1146</v>
      </c>
      <c r="B292" s="37" t="str">
        <f>IF(Base_Original!A292="","vazio",IF(Base_Original!A292="ATIVO","Ativo",IF(Base_Original!A292="INATIVO","Inativo",Base_Original!A292)))</f>
        <v>Ativo</v>
      </c>
      <c r="C292" s="37" t="str">
        <f>PROPER(Base_Original!B292)</f>
        <v>Sandor Clegane</v>
      </c>
      <c r="D292" s="38" t="s">
        <v>629</v>
      </c>
      <c r="E292" s="39" t="str">
        <f>IF($D292="","Vazio",IF(LEN(SUBSTITUTE(SUBSTITUTE($D292&amp;"",".",""),"-",""))&lt;&gt;11,"Inválido","OK"))</f>
        <v>OK</v>
      </c>
      <c r="F292" s="39" t="str">
        <f>IF($D292="","Vazio",IF(COUNTIF($D$2:$D$369,$D292)&gt;1,"Duplicado","Único"))</f>
        <v>Único</v>
      </c>
      <c r="G292" s="40" t="str">
        <f>IF(TRIM(Base_Original!D292)="","",SUBSTITUTE(TRIM(Base_Original!D292),"anos",""))</f>
        <v>62</v>
      </c>
      <c r="H292" s="50">
        <f>IF($J292="","Vazio",DATEDIF($J292,DATE(2026,9,10),"Y"))</f>
        <v>62</v>
      </c>
      <c r="I29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92" s="33">
        <v>23317</v>
      </c>
      <c r="K292" s="42" t="s">
        <v>242</v>
      </c>
      <c r="L292" s="42" t="str">
        <f>PROPER(Base_Original!G292)</f>
        <v>Norte</v>
      </c>
      <c r="M292" s="43">
        <v>10500</v>
      </c>
      <c r="N292" s="43">
        <f>IF(ISNUMBER(Base_Original!I292),Base_Original!I292,IF(RIGHT(Base_Original!I292,7)=" moedas",VALUE(LEFT(Base_Original!I292,LEN(Base_Original!I292)-7)),Base_Original!I292))</f>
        <v>0</v>
      </c>
      <c r="O292" s="44" t="str">
        <f>IF(AND($N292&gt;50000,$Q292="Sim"),"Negada","Aprovada")</f>
        <v>Aprovada</v>
      </c>
      <c r="P292" s="45">
        <f>IF(AND($T292="Negada",$O292="Negada"),0,IF($B292="Ativo",$U292*8%,"0"))</f>
        <v>4360</v>
      </c>
      <c r="Q292" s="46" t="str">
        <f>IF(OR(Base_Original!J292="Sim",Base_Original!J292="sim",Base_Original!J292="SIM"),"Sim",IF(OR(Base_Original!J292="Não",Base_Original!J292="não",Base_Original!J292="NÃO",Base_Original!J292="Nao"),"Não",IF(Base_Original!J292="","vazio",Base_Original!J292)))</f>
        <v>Sim</v>
      </c>
      <c r="R292" s="46">
        <f>IF(ISNUMBER(Base_Original!K292),Base_Original!K292,IF(RIGHT(Base_Original!K292,9)=" batalhas",VALUE(LEFT(Base_Original!K292,LEN(Base_Original!K292)-9)),Base_Original!K292))</f>
        <v>4</v>
      </c>
      <c r="S292" s="42" t="str">
        <f>IF($R292="vazio","vazio",IF($R292&lt;=10,"Baixo",IF($R292&lt;=25,"Médio","Alto")))</f>
        <v>Baixo</v>
      </c>
      <c r="T292" s="42" t="str">
        <f>IF(AND($S292="Alto",$Q292="Sim"),"Negada","Aprovada")</f>
        <v>Aprovada</v>
      </c>
      <c r="U292" s="43">
        <v>54500</v>
      </c>
    </row>
    <row r="293" spans="1:21">
      <c r="A293" s="47" t="s">
        <v>1147</v>
      </c>
      <c r="B293" s="37" t="str">
        <f>IF(Base_Original!A293="","vazio",IF(Base_Original!A293="ATIVO","Ativo",IF(Base_Original!A293="INATIVO","Inativo",Base_Original!A293)))</f>
        <v>Ativo</v>
      </c>
      <c r="C293" s="37" t="str">
        <f>PROPER(Base_Original!B293)</f>
        <v>Sandor Dondarrion</v>
      </c>
      <c r="D293" s="38">
        <v>8200</v>
      </c>
      <c r="E293" s="39" t="str">
        <f>IF($D293="","Vazio",IF(LEN(SUBSTITUTE(SUBSTITUTE($D293&amp;"",".",""),"-",""))&lt;&gt;11,"Inválido","OK"))</f>
        <v>Inválido</v>
      </c>
      <c r="F293" s="39" t="str">
        <f>IF($D293="","Vazio",IF(COUNTIF($D$2:$D$369,$D293)&gt;1,"Duplicado","Único"))</f>
        <v>Único</v>
      </c>
      <c r="G293" s="40" t="str">
        <f>IF(TRIM(Base_Original!D293)="","",SUBSTITUTE(TRIM(Base_Original!D293),"anos",""))</f>
        <v>20</v>
      </c>
      <c r="H293" s="50">
        <f>IF($J293="","Vazio",DATEDIF($J293,DATE(2026,9,10),"Y"))</f>
        <v>20</v>
      </c>
      <c r="I29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93" s="33">
        <v>38894</v>
      </c>
      <c r="K293" s="42" t="s">
        <v>75</v>
      </c>
      <c r="L293" s="42" t="str">
        <f>PROPER(Base_Original!G293)</f>
        <v>Norte</v>
      </c>
      <c r="M293" s="43">
        <v>24900</v>
      </c>
      <c r="N293" s="43">
        <f>IF(ISNUMBER(Base_Original!I293),Base_Original!I293,IF(RIGHT(Base_Original!I293,7)=" moedas",VALUE(LEFT(Base_Original!I293,LEN(Base_Original!I293)-7)),Base_Original!I293))</f>
        <v>0</v>
      </c>
      <c r="O293" s="44" t="str">
        <f>IF(AND($N293&gt;50000,$Q293="Sim"),"Negada","Aprovada")</f>
        <v>Aprovada</v>
      </c>
      <c r="P293" s="45">
        <f>IF(AND($T293="Negada",$O293="Negada"),0,IF($B293="Ativo",$U293*8%,"0"))</f>
        <v>3960</v>
      </c>
      <c r="Q293" s="46" t="str">
        <f>IF(OR(Base_Original!J293="Sim",Base_Original!J293="sim",Base_Original!J293="SIM"),"Sim",IF(OR(Base_Original!J293="Não",Base_Original!J293="não",Base_Original!J293="NÃO",Base_Original!J293="Nao"),"Não",IF(Base_Original!J293="","vazio",Base_Original!J293)))</f>
        <v>Sim</v>
      </c>
      <c r="R293" s="46">
        <f>IF(ISNUMBER(Base_Original!K293),Base_Original!K293,IF(RIGHT(Base_Original!K293,9)=" batalhas",VALUE(LEFT(Base_Original!K293,LEN(Base_Original!K293)-9)),Base_Original!K293))</f>
        <v>14</v>
      </c>
      <c r="S293" s="42" t="str">
        <f>IF($R293="vazio","vazio",IF($R293&lt;=10,"Baixo",IF($R293&lt;=25,"Médio","Alto")))</f>
        <v>Médio</v>
      </c>
      <c r="T293" s="42" t="str">
        <f>IF(AND($S293="Alto",$Q293="Sim"),"Negada","Aprovada")</f>
        <v>Aprovada</v>
      </c>
      <c r="U293" s="43">
        <v>49500</v>
      </c>
    </row>
    <row r="294" spans="1:21">
      <c r="A294" s="47" t="s">
        <v>1148</v>
      </c>
      <c r="B294" s="37" t="str">
        <f>IF(Base_Original!A294="","vazio",IF(Base_Original!A294="ATIVO","Ativo",IF(Base_Original!A294="INATIVO","Inativo",Base_Original!A294)))</f>
        <v>Ativoo</v>
      </c>
      <c r="C294" s="37" t="str">
        <f>PROPER(Base_Original!B294)</f>
        <v>Sandor Westerling</v>
      </c>
      <c r="D294" s="38" t="s">
        <v>633</v>
      </c>
      <c r="E294" s="39" t="str">
        <f>IF($D294="","Vazio",IF(LEN(SUBSTITUTE(SUBSTITUTE($D294&amp;"",".",""),"-",""))&lt;&gt;11,"Inválido","OK"))</f>
        <v>OK</v>
      </c>
      <c r="F294" s="39" t="str">
        <f>IF($D294="","Vazio",IF(COUNTIF($D$2:$D$369,$D294)&gt;1,"Duplicado","Único"))</f>
        <v>Único</v>
      </c>
      <c r="G294" s="40" t="str">
        <f>IF(TRIM(Base_Original!D294)="","",SUBSTITUTE(TRIM(Base_Original!D294),"anos",""))</f>
        <v>44</v>
      </c>
      <c r="H294" s="50">
        <f>IF($J294="","Vazio",DATEDIF($J294,DATE(2026,9,10),"Y"))</f>
        <v>44</v>
      </c>
      <c r="I29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94" s="33">
        <v>30167</v>
      </c>
      <c r="K294" s="42" t="s">
        <v>150</v>
      </c>
      <c r="L294" s="42" t="str">
        <f>PROPER(Base_Original!G295)</f>
        <v>Gargalo</v>
      </c>
      <c r="M294" s="43">
        <v>5500</v>
      </c>
      <c r="N294" s="43">
        <f>IF(ISNUMBER(Base_Original!I294),Base_Original!I294,IF(RIGHT(Base_Original!I294,7)=" moedas",VALUE(LEFT(Base_Original!I294,LEN(Base_Original!I294)-7)),Base_Original!I294))</f>
        <v>26000</v>
      </c>
      <c r="O294" s="44" t="str">
        <f>IF(AND($N294&gt;50000,$Q294="Sim"),"Negada","Aprovada")</f>
        <v>Aprovada</v>
      </c>
      <c r="P294" s="45" t="str">
        <f>IF(AND($T294="Negada",$O294="Negada"),0,IF($B294="Ativo",$U294*8%,"0"))</f>
        <v>0</v>
      </c>
      <c r="Q294" s="46" t="str">
        <f>IF(OR(Base_Original!J294="Sim",Base_Original!J294="sim",Base_Original!J294="SIM"),"Sim",IF(OR(Base_Original!J294="Não",Base_Original!J294="não",Base_Original!J294="NÃO",Base_Original!J294="Nao"),"Não",IF(Base_Original!J294="","vazio",Base_Original!J294)))</f>
        <v>Não</v>
      </c>
      <c r="R294" s="46">
        <f>IF(ISNUMBER(Base_Original!K294),Base_Original!K294,IF(RIGHT(Base_Original!K294,9)=" batalhas",VALUE(LEFT(Base_Original!K294,LEN(Base_Original!K294)-9)),Base_Original!K294))</f>
        <v>30</v>
      </c>
      <c r="S294" s="42" t="str">
        <f>IF($R294="vazio","vazio",IF($R294&lt;=10,"Baixo",IF($R294&lt;=25,"Médio","Alto")))</f>
        <v>Alto</v>
      </c>
      <c r="T294" s="42" t="str">
        <f>IF(AND($S294="Alto",$Q294="Sim"),"Negada","Aprovada")</f>
        <v>Aprovada</v>
      </c>
      <c r="U294" s="43">
        <v>77000</v>
      </c>
    </row>
    <row r="295" spans="1:21">
      <c r="A295" s="47" t="s">
        <v>1149</v>
      </c>
      <c r="B295" s="37" t="str">
        <f>IF(Base_Original!A295="","vazio",IF(Base_Original!A295="ATIVO","Ativo",IF(Base_Original!A295="INATIVO","Inativo",Base_Original!A295)))</f>
        <v>Ativo</v>
      </c>
      <c r="C295" s="37" t="str">
        <f>PROPER(Base_Original!B295)</f>
        <v>Sandor Westerling</v>
      </c>
      <c r="D295" s="38">
        <v>33700</v>
      </c>
      <c r="E295" s="39" t="str">
        <f>IF($D295="","Vazio",IF(LEN(SUBSTITUTE(SUBSTITUTE($D295&amp;"",".",""),"-",""))&lt;&gt;11,"Inválido","OK"))</f>
        <v>Inválido</v>
      </c>
      <c r="F295" s="39" t="str">
        <f>IF($D295="","Vazio",IF(COUNTIF($D$2:$D$369,$D295)&gt;1,"Duplicado","Único"))</f>
        <v>Único</v>
      </c>
      <c r="G295" s="40" t="str">
        <f>IF(TRIM(Base_Original!D295)="","",SUBSTITUTE(TRIM(Base_Original!D295),"anos",""))</f>
        <v>71</v>
      </c>
      <c r="H295" s="50">
        <f>IF($J295="","Vazio",DATEDIF($J295,DATE(2026,9,10),"Y"))</f>
        <v>71</v>
      </c>
      <c r="I29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95" s="33">
        <v>20000</v>
      </c>
      <c r="K295" s="42" t="s">
        <v>101</v>
      </c>
      <c r="L295" s="42" t="str">
        <f>PROPER(Base_Original!G294)</f>
        <v/>
      </c>
      <c r="M295" s="43">
        <v>15100</v>
      </c>
      <c r="N295" s="43" t="str">
        <f>IF(ISNUMBER(Base_Original!I295),Base_Original!I295,IF(RIGHT(Base_Original!I295,7)=" moedas",VALUE(LEFT(Base_Original!I295,LEN(Base_Original!I295)-7)),Base_Original!I295))</f>
        <v>N/A</v>
      </c>
      <c r="O295" s="44" t="str">
        <f>IF(AND($N295&gt;50000,$Q295="Sim"),"Negada","Aprovada")</f>
        <v>Aprovada</v>
      </c>
      <c r="P295" s="45">
        <f>IF(AND($T295="Negada",$O295="Negada"),0,IF($B295="Ativo",$U295*8%,"0"))</f>
        <v>5120</v>
      </c>
      <c r="Q295" s="46" t="str">
        <f>IF(OR(Base_Original!J295="Sim",Base_Original!J295="sim",Base_Original!J295="SIM"),"Sim",IF(OR(Base_Original!J295="Não",Base_Original!J295="não",Base_Original!J295="NÃO",Base_Original!J295="Nao"),"Não",IF(Base_Original!J295="","vazio",Base_Original!J295)))</f>
        <v>Não</v>
      </c>
      <c r="R295" s="46">
        <f>IF(ISNUMBER(Base_Original!K295),Base_Original!K295,IF(RIGHT(Base_Original!K295,9)=" batalhas",VALUE(LEFT(Base_Original!K295,LEN(Base_Original!K295)-9)),Base_Original!K295))</f>
        <v>42</v>
      </c>
      <c r="S295" s="42" t="str">
        <f>IF($R295="vazio","vazio",IF($R295&lt;=10,"Baixo",IF($R295&lt;=25,"Médio","Alto")))</f>
        <v>Alto</v>
      </c>
      <c r="T295" s="42" t="str">
        <f>IF(AND($S295="Alto",$Q295="Sim"),"Negada","Aprovada")</f>
        <v>Aprovada</v>
      </c>
      <c r="U295" s="43">
        <v>64000</v>
      </c>
    </row>
    <row r="296" spans="1:21">
      <c r="A296" s="47" t="s">
        <v>1150</v>
      </c>
      <c r="B296" s="37" t="str">
        <f>IF(Base_Original!A296="","vazio",IF(Base_Original!A296="ATIVO","Ativo",IF(Base_Original!A296="INATIVO","Inativo",Base_Original!A296)))</f>
        <v>Ativo</v>
      </c>
      <c r="C296" s="37" t="str">
        <f>PROPER(Base_Original!B296)</f>
        <v>Sansa Dondarrion</v>
      </c>
      <c r="D296" s="38" t="s">
        <v>635</v>
      </c>
      <c r="E296" s="39" t="str">
        <f>IF($D296="","Vazio",IF(LEN(SUBSTITUTE(SUBSTITUTE($D296&amp;"",".",""),"-",""))&lt;&gt;11,"Inválido","OK"))</f>
        <v>OK</v>
      </c>
      <c r="F296" s="39" t="str">
        <f>IF($D296="","Vazio",IF(COUNTIF($D$2:$D$369,$D296)&gt;1,"Duplicado","Único"))</f>
        <v>Único</v>
      </c>
      <c r="G296" s="40" t="str">
        <f>IF(TRIM(Base_Original!D296)="","",SUBSTITUTE(TRIM(Base_Original!D296),"anos",""))</f>
        <v>22</v>
      </c>
      <c r="H296" s="50">
        <f>IF($J296="","Vazio",DATEDIF($J296,DATE(2026,9,10),"Y"))</f>
        <v>22</v>
      </c>
      <c r="I29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96" s="33">
        <v>37936</v>
      </c>
      <c r="K296" s="42" t="s">
        <v>51</v>
      </c>
      <c r="L296" s="42" t="str">
        <f>PROPER(Base_Original!G296)</f>
        <v>Vale</v>
      </c>
      <c r="M296" s="43">
        <v>4100</v>
      </c>
      <c r="N296" s="43">
        <f>IF(ISNUMBER(Base_Original!I296),Base_Original!I296,IF(RIGHT(Base_Original!I296,7)=" moedas",VALUE(LEFT(Base_Original!I296,LEN(Base_Original!I296)-7)),Base_Original!I296))</f>
        <v>2000</v>
      </c>
      <c r="O296" s="44" t="str">
        <f>IF(AND($N296&gt;50000,$Q296="Sim"),"Negada","Aprovada")</f>
        <v>Aprovada</v>
      </c>
      <c r="P296" s="45">
        <f>IF(AND($T296="Negada",$O296="Negada"),0,IF($B296="Ativo",$U296*8%,"0"))</f>
        <v>320</v>
      </c>
      <c r="Q296" s="46" t="str">
        <f>IF(OR(Base_Original!J296="Sim",Base_Original!J296="sim",Base_Original!J296="SIM"),"Sim",IF(OR(Base_Original!J296="Não",Base_Original!J296="não",Base_Original!J296="NÃO",Base_Original!J296="Nao"),"Não",IF(Base_Original!J296="","vazio",Base_Original!J296)))</f>
        <v>Não</v>
      </c>
      <c r="R296" s="46">
        <f>IF(ISNUMBER(Base_Original!K296),Base_Original!K296,IF(RIGHT(Base_Original!K296,9)=" batalhas",VALUE(LEFT(Base_Original!K296,LEN(Base_Original!K296)-9)),Base_Original!K296))</f>
        <v>8</v>
      </c>
      <c r="S296" s="42" t="str">
        <f>IF($R296="vazio","vazio",IF($R296&lt;=10,"Baixo",IF($R296&lt;=25,"Médio","Alto")))</f>
        <v>Baixo</v>
      </c>
      <c r="T296" s="42" t="str">
        <f>IF(AND($S296="Alto",$Q296="Sim"),"Negada","Aprovada")</f>
        <v>Aprovada</v>
      </c>
      <c r="U296" s="43">
        <v>4000</v>
      </c>
    </row>
    <row r="297" spans="1:21">
      <c r="A297" s="47" t="s">
        <v>1151</v>
      </c>
      <c r="B297" s="37" t="str">
        <f>IF(Base_Original!A297="","vazio",IF(Base_Original!A297="ATIVO","Ativo",IF(Base_Original!A297="INATIVO","Inativo",Base_Original!A297)))</f>
        <v>Ativo</v>
      </c>
      <c r="C297" s="37" t="str">
        <f>PROPER(Base_Original!B297)</f>
        <v>Shae  Dayne</v>
      </c>
      <c r="D297" s="38" t="s">
        <v>637</v>
      </c>
      <c r="E297" s="39" t="str">
        <f>IF($D297="","Vazio",IF(LEN(SUBSTITUTE(SUBSTITUTE($D297&amp;"",".",""),"-",""))&lt;&gt;11,"Inválido","OK"))</f>
        <v>OK</v>
      </c>
      <c r="F297" s="39" t="str">
        <f>IF($D297="","Vazio",IF(COUNTIF($D$2:$D$369,$D297)&gt;1,"Duplicado","Único"))</f>
        <v>Único</v>
      </c>
      <c r="G297" s="40" t="str">
        <f>IF(TRIM(Base_Original!D297)="","",SUBSTITUTE(TRIM(Base_Original!D297),"anos",""))</f>
        <v>25</v>
      </c>
      <c r="H297" s="50">
        <f>IF($J297="","Vazio",DATEDIF($J297,DATE(2026,9,10),"Y"))</f>
        <v>25</v>
      </c>
      <c r="I29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97" s="33">
        <v>36792</v>
      </c>
      <c r="K297" s="42" t="s">
        <v>51</v>
      </c>
      <c r="L297" s="42" t="str">
        <f>PROPER(Base_Original!G297)</f>
        <v>Vale</v>
      </c>
      <c r="M297" s="43">
        <v>22100</v>
      </c>
      <c r="N297" s="43">
        <f>IF(ISNUMBER(Base_Original!I297),Base_Original!I297,IF(RIGHT(Base_Original!I297,7)=" moedas",VALUE(LEFT(Base_Original!I297,LEN(Base_Original!I297)-7)),Base_Original!I297))</f>
        <v>30500</v>
      </c>
      <c r="O297" s="44" t="str">
        <f>IF(AND($N297&gt;50000,$Q297="Sim"),"Negada","Aprovada")</f>
        <v>Aprovada</v>
      </c>
      <c r="P297" s="45">
        <f>IF(AND($T297="Negada",$O297="Negada"),0,IF($B297="Ativo",$U297*8%,"0"))</f>
        <v>3840</v>
      </c>
      <c r="Q297" s="46" t="str">
        <f>IF(OR(Base_Original!J297="Sim",Base_Original!J297="sim",Base_Original!J297="SIM"),"Sim",IF(OR(Base_Original!J297="Não",Base_Original!J297="não",Base_Original!J297="NÃO",Base_Original!J297="Nao"),"Não",IF(Base_Original!J297="","vazio",Base_Original!J297)))</f>
        <v>Não</v>
      </c>
      <c r="R297" s="46">
        <f>IF(ISNUMBER(Base_Original!K297),Base_Original!K297,IF(RIGHT(Base_Original!K297,9)=" batalhas",VALUE(LEFT(Base_Original!K297,LEN(Base_Original!K297)-9)),Base_Original!K297))</f>
        <v>28</v>
      </c>
      <c r="S297" s="42" t="str">
        <f>IF($R297="vazio","vazio",IF($R297&lt;=10,"Baixo",IF($R297&lt;=25,"Médio","Alto")))</f>
        <v>Alto</v>
      </c>
      <c r="T297" s="42" t="str">
        <f>IF(AND($S297="Alto",$Q297="Sim"),"Negada","Aprovada")</f>
        <v>Aprovada</v>
      </c>
      <c r="U297" s="43">
        <v>48000</v>
      </c>
    </row>
    <row r="298" spans="1:21">
      <c r="A298" s="47" t="s">
        <v>1152</v>
      </c>
      <c r="B298" s="37" t="str">
        <f>IF(Base_Original!A298="","vazio",IF(Base_Original!A298="ATIVO","Ativo",IF(Base_Original!A298="INATIVO","Inativo",Base_Original!A298)))</f>
        <v>Ativo</v>
      </c>
      <c r="C298" s="37" t="str">
        <f>PROPER(Base_Original!B298)</f>
        <v>Shae Clegane</v>
      </c>
      <c r="D298" s="38" t="s">
        <v>639</v>
      </c>
      <c r="E298" s="39" t="str">
        <f>IF($D298="","Vazio",IF(LEN(SUBSTITUTE(SUBSTITUTE($D298&amp;"",".",""),"-",""))&lt;&gt;11,"Inválido","OK"))</f>
        <v>OK</v>
      </c>
      <c r="F298" s="39" t="str">
        <f>IF($D298="","Vazio",IF(COUNTIF($D$2:$D$369,$D298)&gt;1,"Duplicado","Único"))</f>
        <v>Único</v>
      </c>
      <c r="G298" s="40" t="str">
        <f>IF(TRIM(Base_Original!D298)="","",SUBSTITUTE(TRIM(Base_Original!D298),"anos",""))</f>
        <v>40</v>
      </c>
      <c r="H298" s="50">
        <f>IF($J298="","Vazio",DATEDIF($J298,DATE(2026,9,10),"Y"))</f>
        <v>40</v>
      </c>
      <c r="I29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98" s="33">
        <v>31539</v>
      </c>
      <c r="K298" s="42" t="s">
        <v>99</v>
      </c>
      <c r="L298" s="42" t="str">
        <f>PROPER(Base_Original!G298)</f>
        <v>Norte</v>
      </c>
      <c r="M298" s="43">
        <v>9900</v>
      </c>
      <c r="N298" s="43">
        <f>IF(ISNUMBER(Base_Original!I298),Base_Original!I298,IF(RIGHT(Base_Original!I298,7)=" moedas",VALUE(LEFT(Base_Original!I298,LEN(Base_Original!I298)-7)),Base_Original!I298))</f>
        <v>3500</v>
      </c>
      <c r="O298" s="44" t="str">
        <f>IF(AND($N298&gt;50000,$Q298="Sim"),"Negada","Aprovada")</f>
        <v>Aprovada</v>
      </c>
      <c r="P298" s="45">
        <f>IF(AND($T298="Negada",$O298="Negada"),0,IF($B298="Ativo",$U298*8%,"0"))</f>
        <v>1880</v>
      </c>
      <c r="Q298" s="46" t="str">
        <f>IF(OR(Base_Original!J298="Sim",Base_Original!J298="sim",Base_Original!J298="SIM"),"Sim",IF(OR(Base_Original!J298="Não",Base_Original!J298="não",Base_Original!J298="NÃO",Base_Original!J298="Nao"),"Não",IF(Base_Original!J298="","vazio",Base_Original!J298)))</f>
        <v>Não</v>
      </c>
      <c r="R298" s="46">
        <f>IF(ISNUMBER(Base_Original!K298),Base_Original!K298,IF(RIGHT(Base_Original!K298,9)=" batalhas",VALUE(LEFT(Base_Original!K298,LEN(Base_Original!K298)-9)),Base_Original!K298))</f>
        <v>1</v>
      </c>
      <c r="S298" s="42" t="str">
        <f>IF($R298="vazio","vazio",IF($R298&lt;=10,"Baixo",IF($R298&lt;=25,"Médio","Alto")))</f>
        <v>Baixo</v>
      </c>
      <c r="T298" s="42" t="str">
        <f>IF(AND($S298="Alto",$Q298="Sim"),"Negada","Aprovada")</f>
        <v>Aprovada</v>
      </c>
      <c r="U298" s="43">
        <v>23500</v>
      </c>
    </row>
    <row r="299" spans="1:21">
      <c r="A299" s="47" t="s">
        <v>1153</v>
      </c>
      <c r="B299" s="37" t="str">
        <f>IF(Base_Original!A299="","vazio",IF(Base_Original!A299="ATIVO","Ativo",IF(Base_Original!A299="INATIVO","Inativo",Base_Original!A299)))</f>
        <v>Ativo</v>
      </c>
      <c r="C299" s="37" t="str">
        <f>PROPER(Base_Original!B299)</f>
        <v>Shae Frey</v>
      </c>
      <c r="D299" s="38">
        <v>12700</v>
      </c>
      <c r="E299" s="39" t="str">
        <f>IF($D299="","Vazio",IF(LEN(SUBSTITUTE(SUBSTITUTE($D299&amp;"",".",""),"-",""))&lt;&gt;11,"Inválido","OK"))</f>
        <v>Inválido</v>
      </c>
      <c r="F299" s="39" t="str">
        <f>IF($D299="","Vazio",IF(COUNTIF($D$2:$D$369,$D299)&gt;1,"Duplicado","Único"))</f>
        <v>Único</v>
      </c>
      <c r="G299" s="40" t="str">
        <f>IF(TRIM(Base_Original!D299)="","",SUBSTITUTE(TRIM(Base_Original!D299),"anos",""))</f>
        <v>26</v>
      </c>
      <c r="H299" s="50">
        <f>IF($J299="","Vazio",DATEDIF($J299,DATE(2026,9,10),"Y"))</f>
        <v>26</v>
      </c>
      <c r="I29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299" s="33">
        <v>36518</v>
      </c>
      <c r="K299" s="42" t="s">
        <v>75</v>
      </c>
      <c r="L299" s="42" t="str">
        <f>PROPER(Base_Original!G299)</f>
        <v>Norte</v>
      </c>
      <c r="M299" s="43">
        <v>5000</v>
      </c>
      <c r="N299" s="43">
        <f>IF(ISNUMBER(Base_Original!I299),Base_Original!I299,IF(RIGHT(Base_Original!I299,7)=" moedas",VALUE(LEFT(Base_Original!I299,LEN(Base_Original!I299)-7)),Base_Original!I299))</f>
        <v>61500</v>
      </c>
      <c r="O299" s="44" t="str">
        <f>IF(AND($N299&gt;50000,$Q299="Sim"),"Negada","Aprovada")</f>
        <v>Aprovada</v>
      </c>
      <c r="P299" s="45">
        <f>IF(AND($T299="Negada",$O299="Negada"),0,IF($B299="Ativo",$U299*8%,"0"))</f>
        <v>1480</v>
      </c>
      <c r="Q299" s="46" t="str">
        <f>IF(OR(Base_Original!J299="Sim",Base_Original!J299="sim",Base_Original!J299="SIM"),"Sim",IF(OR(Base_Original!J299="Não",Base_Original!J299="não",Base_Original!J299="NÃO",Base_Original!J299="Nao"),"Não",IF(Base_Original!J299="","vazio",Base_Original!J299)))</f>
        <v>Não</v>
      </c>
      <c r="R299" s="46">
        <f>IF(ISNUMBER(Base_Original!K299),Base_Original!K299,IF(RIGHT(Base_Original!K299,9)=" batalhas",VALUE(LEFT(Base_Original!K299,LEN(Base_Original!K299)-9)),Base_Original!K299))</f>
        <v>35</v>
      </c>
      <c r="S299" s="42" t="str">
        <f>IF($R299="vazio","vazio",IF($R299&lt;=10,"Baixo",IF($R299&lt;=25,"Médio","Alto")))</f>
        <v>Alto</v>
      </c>
      <c r="T299" s="42" t="str">
        <f>IF(AND($S299="Alto",$Q299="Sim"),"Negada","Aprovada")</f>
        <v>Aprovada</v>
      </c>
      <c r="U299" s="43">
        <v>18500</v>
      </c>
    </row>
    <row r="300" spans="1:21">
      <c r="A300" s="47" t="s">
        <v>1154</v>
      </c>
      <c r="B300" s="37" t="str">
        <f>IF(Base_Original!A300="","vazio",IF(Base_Original!A300="ATIVO","Ativo",IF(Base_Original!A300="INATIVO","Inativo",Base_Original!A300)))</f>
        <v>Ativo</v>
      </c>
      <c r="C300" s="37" t="str">
        <f>PROPER(Base_Original!B300)</f>
        <v>Shae Mormont</v>
      </c>
      <c r="D300" s="38" t="s">
        <v>643</v>
      </c>
      <c r="E300" s="39" t="str">
        <f>IF($D300="","Vazio",IF(LEN(SUBSTITUTE(SUBSTITUTE($D300&amp;"",".",""),"-",""))&lt;&gt;11,"Inválido","OK"))</f>
        <v>OK</v>
      </c>
      <c r="F300" s="39" t="str">
        <f>IF($D300="","Vazio",IF(COUNTIF($D$2:$D$369,$D300)&gt;1,"Duplicado","Único"))</f>
        <v>Único</v>
      </c>
      <c r="G300" s="40" t="str">
        <f>IF(TRIM(Base_Original!D300)="","",SUBSTITUTE(TRIM(Base_Original!D300),"anos",""))</f>
        <v>63</v>
      </c>
      <c r="H300" s="50">
        <f>IF($J300="","Vazio",DATEDIF($J300,DATE(2026,9,10),"Y"))</f>
        <v>63</v>
      </c>
      <c r="I30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00" s="33">
        <v>22900</v>
      </c>
      <c r="K300" s="42" t="s">
        <v>34</v>
      </c>
      <c r="L300" s="42" t="str">
        <f>PROPER(Base_Original!G301)</f>
        <v>Oeste</v>
      </c>
      <c r="M300" s="43">
        <v>12600</v>
      </c>
      <c r="N300" s="43">
        <f>IF(ISNUMBER(Base_Original!I300),Base_Original!I300,IF(RIGHT(Base_Original!I300,7)=" moedas",VALUE(LEFT(Base_Original!I300,LEN(Base_Original!I300)-7)),Base_Original!I300))</f>
        <v>41000</v>
      </c>
      <c r="O300" s="44" t="str">
        <f>IF(AND($N300&gt;50000,$Q300="Sim"),"Negada","Aprovada")</f>
        <v>Aprovada</v>
      </c>
      <c r="P300" s="45">
        <f>IF(AND($T300="Negada",$O300="Negada"),0,IF($B300="Ativo",$U300*8%,"0"))</f>
        <v>4360</v>
      </c>
      <c r="Q300" s="46" t="str">
        <f>IF(OR(Base_Original!J300="Sim",Base_Original!J300="sim",Base_Original!J300="SIM"),"Sim",IF(OR(Base_Original!J300="Não",Base_Original!J300="não",Base_Original!J300="NÃO",Base_Original!J300="Nao"),"Não",IF(Base_Original!J300="","vazio",Base_Original!J300)))</f>
        <v>Não</v>
      </c>
      <c r="R300" s="46">
        <f>IF(ISNUMBER(Base_Original!K300),Base_Original!K300,IF(RIGHT(Base_Original!K300,9)=" batalhas",VALUE(LEFT(Base_Original!K300,LEN(Base_Original!K300)-9)),Base_Original!K300))</f>
        <v>2</v>
      </c>
      <c r="S300" s="42" t="str">
        <f>IF($R300="vazio","vazio",IF($R300&lt;=10,"Baixo",IF($R300&lt;=25,"Médio","Alto")))</f>
        <v>Baixo</v>
      </c>
      <c r="T300" s="42" t="str">
        <f>IF(AND($S300="Alto",$Q300="Sim"),"Negada","Aprovada")</f>
        <v>Aprovada</v>
      </c>
      <c r="U300" s="43">
        <v>54500</v>
      </c>
    </row>
    <row r="301" spans="1:21">
      <c r="A301" s="47" t="s">
        <v>1155</v>
      </c>
      <c r="B301" s="37" t="str">
        <f>IF(Base_Original!A301="","vazio",IF(Base_Original!A301="ATIVO","Ativo",IF(Base_Original!A301="INATIVO","Inativo",Base_Original!A301)))</f>
        <v>Ativo</v>
      </c>
      <c r="C301" s="37" t="str">
        <f>PROPER(Base_Original!B301)</f>
        <v>Shae Mormont</v>
      </c>
      <c r="D301" s="38" t="s">
        <v>644</v>
      </c>
      <c r="E301" s="39" t="str">
        <f>IF($D301="","Vazio",IF(LEN(SUBSTITUTE(SUBSTITUTE($D301&amp;"",".",""),"-",""))&lt;&gt;11,"Inválido","OK"))</f>
        <v>OK</v>
      </c>
      <c r="F301" s="39" t="str">
        <f>IF($D301="","Vazio",IF(COUNTIF($D$2:$D$369,$D301)&gt;1,"Duplicado","Único"))</f>
        <v>Único</v>
      </c>
      <c r="G301" s="40" t="str">
        <f>IF(TRIM(Base_Original!D301)="","",SUBSTITUTE(TRIM(Base_Original!D301),"anos",""))</f>
        <v>72</v>
      </c>
      <c r="H301" s="50">
        <f>IF($J301="","Vazio",DATEDIF($J301,DATE(2026,9,10),"Y"))</f>
        <v>72</v>
      </c>
      <c r="I30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01" s="33">
        <v>19623</v>
      </c>
      <c r="K301" s="42" t="s">
        <v>91</v>
      </c>
      <c r="L301" s="42" t="str">
        <f>PROPER(Base_Original!G300)</f>
        <v>Dorne</v>
      </c>
      <c r="M301" s="43">
        <v>5500</v>
      </c>
      <c r="N301" s="43">
        <f>IF(ISNUMBER(Base_Original!I301),Base_Original!I301,IF(RIGHT(Base_Original!I301,7)=" moedas",VALUE(LEFT(Base_Original!I301,LEN(Base_Original!I301)-7)),Base_Original!I301))</f>
        <v>5500</v>
      </c>
      <c r="O301" s="44" t="str">
        <f>IF(AND($N301&gt;50000,$Q301="Sim"),"Negada","Aprovada")</f>
        <v>Aprovada</v>
      </c>
      <c r="P301" s="45">
        <f>IF(AND($T301="Negada",$O301="Negada"),0,IF($B301="Ativo",$U301*8%,"0"))</f>
        <v>1680</v>
      </c>
      <c r="Q301" s="46" t="str">
        <f>IF(OR(Base_Original!J301="Sim",Base_Original!J301="sim",Base_Original!J301="SIM"),"Sim",IF(OR(Base_Original!J301="Não",Base_Original!J301="não",Base_Original!J301="NÃO",Base_Original!J301="Nao"),"Não",IF(Base_Original!J301="","vazio",Base_Original!J301)))</f>
        <v>Não</v>
      </c>
      <c r="R301" s="46">
        <f>IF(ISNUMBER(Base_Original!K301),Base_Original!K301,IF(RIGHT(Base_Original!K301,9)=" batalhas",VALUE(LEFT(Base_Original!K301,LEN(Base_Original!K301)-9)),Base_Original!K301))</f>
        <v>35</v>
      </c>
      <c r="S301" s="42" t="str">
        <f>IF($R301="vazio","vazio",IF($R301&lt;=10,"Baixo",IF($R301&lt;=25,"Médio","Alto")))</f>
        <v>Alto</v>
      </c>
      <c r="T301" s="42" t="str">
        <f>IF(AND($S301="Alto",$Q301="Sim"),"Negada","Aprovada")</f>
        <v>Aprovada</v>
      </c>
      <c r="U301" s="43">
        <v>21000</v>
      </c>
    </row>
    <row r="302" spans="1:21">
      <c r="A302" s="47" t="s">
        <v>1156</v>
      </c>
      <c r="B302" s="37" t="str">
        <f>IF(Base_Original!A302="","vazio",IF(Base_Original!A302="ATIVO","Ativo",IF(Base_Original!A302="INATIVO","Inativo",Base_Original!A302)))</f>
        <v>Ativo</v>
      </c>
      <c r="C302" s="37" t="str">
        <f>PROPER(Base_Original!B302)</f>
        <v>Shae Seaworth</v>
      </c>
      <c r="D302" s="38" t="s">
        <v>646</v>
      </c>
      <c r="E302" s="39" t="str">
        <f>IF($D302="","Vazio",IF(LEN(SUBSTITUTE(SUBSTITUTE($D302&amp;"",".",""),"-",""))&lt;&gt;11,"Inválido","OK"))</f>
        <v>OK</v>
      </c>
      <c r="F302" s="39" t="str">
        <f>IF($D302="","Vazio",IF(COUNTIF($D$2:$D$369,$D302)&gt;1,"Duplicado","Único"))</f>
        <v>Único</v>
      </c>
      <c r="G302" s="40" t="str">
        <f>IF(TRIM(Base_Original!D302)="","",SUBSTITUTE(TRIM(Base_Original!D302),"anos",""))</f>
        <v>33</v>
      </c>
      <c r="H302" s="50">
        <f>IF($J302="","Vazio",DATEDIF($J302,DATE(2026,9,10),"Y"))</f>
        <v>33</v>
      </c>
      <c r="I30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02" s="33">
        <v>34027</v>
      </c>
      <c r="K302" s="42" t="s">
        <v>62</v>
      </c>
      <c r="L302" s="42" t="str">
        <f>PROPER(Base_Original!G302)</f>
        <v>Essos</v>
      </c>
      <c r="M302" s="43">
        <v>3400</v>
      </c>
      <c r="N302" s="43">
        <f>IF(ISNUMBER(Base_Original!I302),Base_Original!I302,IF(RIGHT(Base_Original!I302,7)=" moedas",VALUE(LEFT(Base_Original!I302,LEN(Base_Original!I302)-7)),Base_Original!I302))</f>
        <v>0</v>
      </c>
      <c r="O302" s="44" t="str">
        <f>IF(AND($N302&gt;50000,$Q302="Sim"),"Negada","Aprovada")</f>
        <v>Aprovada</v>
      </c>
      <c r="P302" s="45">
        <f>IF(AND($T302="Negada",$O302="Negada"),0,IF($B302="Ativo",$U302*8%,"0"))</f>
        <v>5600</v>
      </c>
      <c r="Q302" s="46" t="str">
        <f>IF(OR(Base_Original!J302="Sim",Base_Original!J302="sim",Base_Original!J302="SIM"),"Sim",IF(OR(Base_Original!J302="Não",Base_Original!J302="não",Base_Original!J302="NÃO",Base_Original!J302="Nao"),"Não",IF(Base_Original!J302="","vazio",Base_Original!J302)))</f>
        <v>Não</v>
      </c>
      <c r="R302" s="46">
        <f>IF(ISNUMBER(Base_Original!K302),Base_Original!K302,IF(RIGHT(Base_Original!K302,9)=" batalhas",VALUE(LEFT(Base_Original!K302,LEN(Base_Original!K302)-9)),Base_Original!K302))</f>
        <v>13</v>
      </c>
      <c r="S302" s="42" t="str">
        <f>IF($R302="vazio","vazio",IF($R302&lt;=10,"Baixo",IF($R302&lt;=25,"Médio","Alto")))</f>
        <v>Médio</v>
      </c>
      <c r="T302" s="42" t="str">
        <f>IF(AND($S302="Alto",$Q302="Sim"),"Negada","Aprovada")</f>
        <v>Aprovada</v>
      </c>
      <c r="U302" s="43">
        <v>70000</v>
      </c>
    </row>
    <row r="303" spans="1:21">
      <c r="A303" s="47" t="s">
        <v>1157</v>
      </c>
      <c r="B303" s="37" t="str">
        <f>IF(Base_Original!A303="","vazio",IF(Base_Original!A303="ATIVO","Ativo",IF(Base_Original!A303="INATIVO","Inativo",Base_Original!A303)))</f>
        <v>Inativo</v>
      </c>
      <c r="C303" s="37" t="str">
        <f>PROPER(Base_Original!B303)</f>
        <v>Shae Tarly</v>
      </c>
      <c r="D303" s="38" t="s">
        <v>648</v>
      </c>
      <c r="E303" s="39" t="str">
        <f>IF($D303="","Vazio",IF(LEN(SUBSTITUTE(SUBSTITUTE($D303&amp;"",".",""),"-",""))&lt;&gt;11,"Inválido","OK"))</f>
        <v>OK</v>
      </c>
      <c r="F303" s="39" t="str">
        <f>IF($D303="","Vazio",IF(COUNTIF($D$2:$D$369,$D303)&gt;1,"Duplicado","Único"))</f>
        <v>Único</v>
      </c>
      <c r="G303" s="40" t="str">
        <f>IF(TRIM(Base_Original!D303)="","",SUBSTITUTE(TRIM(Base_Original!D303),"anos",""))</f>
        <v>33</v>
      </c>
      <c r="H303" s="50">
        <f>IF($J303="","Vazio",DATEDIF($J303,DATE(2026,9,10),"Y"))</f>
        <v>33</v>
      </c>
      <c r="I30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03" s="33">
        <v>33902</v>
      </c>
      <c r="K303" s="42" t="s">
        <v>20</v>
      </c>
      <c r="L303" s="42" t="str">
        <f>PROPER(Base_Original!G303)</f>
        <v>Campina</v>
      </c>
      <c r="M303" s="43">
        <v>12500</v>
      </c>
      <c r="N303" s="43">
        <f>IF(ISNUMBER(Base_Original!I303),Base_Original!I303,IF(RIGHT(Base_Original!I303,7)=" moedas",VALUE(LEFT(Base_Original!I303,LEN(Base_Original!I303)-7)),Base_Original!I303))</f>
        <v>51500</v>
      </c>
      <c r="O303" s="44" t="str">
        <f>IF(AND($N303&gt;50000,$Q303="Sim"),"Negada","Aprovada")</f>
        <v>Negada</v>
      </c>
      <c r="P303" s="45">
        <f>IF(AND($T303="Negada",$O303="Negada"),0,IF($B303="Ativo",$U303*8%,"0"))</f>
        <v>0</v>
      </c>
      <c r="Q303" s="46" t="str">
        <f>IF(OR(Base_Original!J303="Sim",Base_Original!J303="sim",Base_Original!J303="SIM"),"Sim",IF(OR(Base_Original!J303="Não",Base_Original!J303="não",Base_Original!J303="NÃO",Base_Original!J303="Nao"),"Não",IF(Base_Original!J303="","vazio",Base_Original!J303)))</f>
        <v>Sim</v>
      </c>
      <c r="R303" s="46">
        <f>IF(ISNUMBER(Base_Original!K303),Base_Original!K303,IF(RIGHT(Base_Original!K303,9)=" batalhas",VALUE(LEFT(Base_Original!K303,LEN(Base_Original!K303)-9)),Base_Original!K303))</f>
        <v>44</v>
      </c>
      <c r="S303" s="42" t="str">
        <f>IF($R303="vazio","vazio",IF($R303&lt;=10,"Baixo",IF($R303&lt;=25,"Médio","Alto")))</f>
        <v>Alto</v>
      </c>
      <c r="T303" s="42" t="str">
        <f>IF(AND($S303="Alto",$Q303="Sim"),"Negada","Aprovada")</f>
        <v>Negada</v>
      </c>
      <c r="U303" s="43">
        <v>24000</v>
      </c>
    </row>
    <row r="304" spans="1:21">
      <c r="A304" s="47" t="s">
        <v>1158</v>
      </c>
      <c r="B304" s="37" t="str">
        <f>IF(Base_Original!A304="","vazio",IF(Base_Original!A304="ATIVO","Ativo",IF(Base_Original!A304="INATIVO","Inativo",Base_Original!A304)))</f>
        <v>Inativo</v>
      </c>
      <c r="C304" s="37" t="str">
        <f>PROPER(Base_Original!B304)</f>
        <v>Stannis  Cerwyn</v>
      </c>
      <c r="D304" s="38">
        <v>3400</v>
      </c>
      <c r="E304" s="39" t="str">
        <f>IF($D304="","Vazio",IF(LEN(SUBSTITUTE(SUBSTITUTE($D304&amp;"",".",""),"-",""))&lt;&gt;11,"Inválido","OK"))</f>
        <v>Inválido</v>
      </c>
      <c r="F304" s="39" t="str">
        <f>IF($D304="","Vazio",IF(COUNTIF($D$2:$D$369,$D304)&gt;1,"Duplicado","Único"))</f>
        <v>Único</v>
      </c>
      <c r="G304" s="40" t="str">
        <f>IF(TRIM(Base_Original!D304)="","",SUBSTITUTE(TRIM(Base_Original!D304),"anos",""))</f>
        <v>35</v>
      </c>
      <c r="H304" s="50">
        <f>IF($J304="","Vazio",DATEDIF($J304,DATE(2026,9,10),"Y"))</f>
        <v>35</v>
      </c>
      <c r="I30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04" s="33">
        <v>33204</v>
      </c>
      <c r="K304" s="42" t="s">
        <v>242</v>
      </c>
      <c r="L304" s="42" t="str">
        <f>PROPER(Base_Original!G304)</f>
        <v>Norte</v>
      </c>
      <c r="M304" s="43">
        <v>17600</v>
      </c>
      <c r="N304" s="43">
        <f>IF(ISNUMBER(Base_Original!I304),Base_Original!I304,IF(RIGHT(Base_Original!I304,7)=" moedas",VALUE(LEFT(Base_Original!I304,LEN(Base_Original!I304)-7)),Base_Original!I304))</f>
        <v>44000</v>
      </c>
      <c r="O304" s="44" t="str">
        <f>IF(AND($N304&gt;50000,$Q304="Sim"),"Negada","Aprovada")</f>
        <v>Aprovada</v>
      </c>
      <c r="P304" s="45" t="str">
        <f>IF(AND($T304="Negada",$O304="Negada"),0,IF($B304="Ativo",$U304*8%,"0"))</f>
        <v>0</v>
      </c>
      <c r="Q304" s="46" t="str">
        <f>IF(OR(Base_Original!J304="Sim",Base_Original!J304="sim",Base_Original!J304="SIM"),"Sim",IF(OR(Base_Original!J304="Não",Base_Original!J304="não",Base_Original!J304="NÃO",Base_Original!J304="Nao"),"Não",IF(Base_Original!J304="","vazio",Base_Original!J304)))</f>
        <v>Não</v>
      </c>
      <c r="R304" s="46">
        <f>IF(ISNUMBER(Base_Original!K304),Base_Original!K304,IF(RIGHT(Base_Original!K304,9)=" batalhas",VALUE(LEFT(Base_Original!K304,LEN(Base_Original!K304)-9)),Base_Original!K304))</f>
        <v>22</v>
      </c>
      <c r="S304" s="42" t="str">
        <f>IF($R304="vazio","vazio",IF($R304&lt;=10,"Baixo",IF($R304&lt;=25,"Médio","Alto")))</f>
        <v>Médio</v>
      </c>
      <c r="T304" s="42" t="str">
        <f>IF(AND($S304="Alto",$Q304="Sim"),"Negada","Aprovada")</f>
        <v>Aprovada</v>
      </c>
      <c r="U304" s="43">
        <v>56500</v>
      </c>
    </row>
    <row r="305" spans="1:21">
      <c r="A305" s="47" t="s">
        <v>1159</v>
      </c>
      <c r="B305" s="37" t="str">
        <f>IF(Base_Original!A305="","vazio",IF(Base_Original!A305="ATIVO","Ativo",IF(Base_Original!A305="INATIVO","Inativo",Base_Original!A305)))</f>
        <v>Ativo</v>
      </c>
      <c r="C305" s="37" t="str">
        <f>PROPER(Base_Original!B305)</f>
        <v>Stannis Crakehall</v>
      </c>
      <c r="D305" s="38" t="s">
        <v>651</v>
      </c>
      <c r="E305" s="39" t="str">
        <f>IF($D305="","Vazio",IF(LEN(SUBSTITUTE(SUBSTITUTE($D305&amp;"",".",""),"-",""))&lt;&gt;11,"Inválido","OK"))</f>
        <v>OK</v>
      </c>
      <c r="F305" s="39" t="str">
        <f>IF($D305="","Vazio",IF(COUNTIF($D$2:$D$369,$D305)&gt;1,"Duplicado","Único"))</f>
        <v>Único</v>
      </c>
      <c r="G305" s="40" t="str">
        <f>IF(TRIM(Base_Original!D305)="","",SUBSTITUTE(TRIM(Base_Original!D305),"anos",""))</f>
        <v>71</v>
      </c>
      <c r="H305" s="50">
        <f>IF($J305="","Vazio",DATEDIF($J305,DATE(2026,9,10),"Y"))</f>
        <v>71</v>
      </c>
      <c r="I30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05" s="33">
        <v>20275</v>
      </c>
      <c r="K305" s="42" t="s">
        <v>91</v>
      </c>
      <c r="L305" s="42" t="str">
        <f>PROPER(Base_Original!G305)</f>
        <v>Oeste</v>
      </c>
      <c r="M305" s="43">
        <v>14200</v>
      </c>
      <c r="N305" s="43">
        <f>IF(ISNUMBER(Base_Original!I305),Base_Original!I305,IF(RIGHT(Base_Original!I305,7)=" moedas",VALUE(LEFT(Base_Original!I305,LEN(Base_Original!I305)-7)),Base_Original!I305))</f>
        <v>51000</v>
      </c>
      <c r="O305" s="44" t="str">
        <f>IF(AND($N305&gt;50000,$Q305="Sim"),"Negada","Aprovada")</f>
        <v>Aprovada</v>
      </c>
      <c r="P305" s="45">
        <f>IF(AND($T305="Negada",$O305="Negada"),0,IF($B305="Ativo",$U305*8%,"0"))</f>
        <v>7240</v>
      </c>
      <c r="Q305" s="46" t="str">
        <f>IF(OR(Base_Original!J305="Sim",Base_Original!J305="sim",Base_Original!J305="SIM"),"Sim",IF(OR(Base_Original!J305="Não",Base_Original!J305="não",Base_Original!J305="NÃO",Base_Original!J305="Nao"),"Não",IF(Base_Original!J305="","vazio",Base_Original!J305)))</f>
        <v>Não</v>
      </c>
      <c r="R305" s="46">
        <f>IF(ISNUMBER(Base_Original!K305),Base_Original!K305,IF(RIGHT(Base_Original!K305,9)=" batalhas",VALUE(LEFT(Base_Original!K305,LEN(Base_Original!K305)-9)),Base_Original!K305))</f>
        <v>10</v>
      </c>
      <c r="S305" s="42" t="str">
        <f>IF($R305="vazio","vazio",IF($R305&lt;=10,"Baixo",IF($R305&lt;=25,"Médio","Alto")))</f>
        <v>Baixo</v>
      </c>
      <c r="T305" s="42" t="str">
        <f>IF(AND($S305="Alto",$Q305="Sim"),"Negada","Aprovada")</f>
        <v>Aprovada</v>
      </c>
      <c r="U305" s="43">
        <v>90500</v>
      </c>
    </row>
    <row r="306" spans="1:21">
      <c r="A306" s="47" t="s">
        <v>1160</v>
      </c>
      <c r="B306" s="37" t="str">
        <f>IF(Base_Original!A306="","vazio",IF(Base_Original!A306="ATIVO","Ativo",IF(Base_Original!A306="INATIVO","Inativo",Base_Original!A306)))</f>
        <v>Ativo</v>
      </c>
      <c r="C306" s="37" t="str">
        <f>PROPER(Base_Original!B306)</f>
        <v>Stannis Greyjoy</v>
      </c>
      <c r="D306" s="38" t="s">
        <v>653</v>
      </c>
      <c r="E306" s="39" t="str">
        <f>IF($D306="","Vazio",IF(LEN(SUBSTITUTE(SUBSTITUTE($D306&amp;"",".",""),"-",""))&lt;&gt;11,"Inválido","OK"))</f>
        <v>OK</v>
      </c>
      <c r="F306" s="39" t="str">
        <f>IF($D306="","Vazio",IF(COUNTIF($D$2:$D$369,$D306)&gt;1,"Duplicado","Único"))</f>
        <v>Único</v>
      </c>
      <c r="G306" s="40" t="str">
        <f>IF(TRIM(Base_Original!D306)="","",SUBSTITUTE(TRIM(Base_Original!D306),"anos",""))</f>
        <v>69</v>
      </c>
      <c r="H306" s="50">
        <f>IF($J306="","Vazio",DATEDIF($J306,DATE(2026,9,10),"Y"))</f>
        <v>69</v>
      </c>
      <c r="I30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06" s="33">
        <v>20943</v>
      </c>
      <c r="K306" s="42" t="s">
        <v>400</v>
      </c>
      <c r="L306" s="42" t="str">
        <f>PROPER(Base_Original!G306)</f>
        <v/>
      </c>
      <c r="M306" s="43">
        <v>13800</v>
      </c>
      <c r="N306" s="43">
        <f>IF(ISNUMBER(Base_Original!I306),Base_Original!I306,IF(RIGHT(Base_Original!I306,7)=" moedas",VALUE(LEFT(Base_Original!I306,LEN(Base_Original!I306)-7)),Base_Original!I306))</f>
        <v>62000</v>
      </c>
      <c r="O306" s="44" t="str">
        <f>IF(AND($N306&gt;50000,$Q306="Sim"),"Negada","Aprovada")</f>
        <v>Aprovada</v>
      </c>
      <c r="P306" s="45">
        <f>IF(AND($T306="Negada",$O306="Negada"),0,IF($B306="Ativo",$U306*8%,"0"))</f>
        <v>4840</v>
      </c>
      <c r="Q306" s="46" t="str">
        <f>IF(OR(Base_Original!J306="Sim",Base_Original!J306="sim",Base_Original!J306="SIM"),"Sim",IF(OR(Base_Original!J306="Não",Base_Original!J306="não",Base_Original!J306="NÃO",Base_Original!J306="Nao"),"Não",IF(Base_Original!J306="","vazio",Base_Original!J306)))</f>
        <v>Não</v>
      </c>
      <c r="R306" s="46">
        <f>IF(ISNUMBER(Base_Original!K306),Base_Original!K306,IF(RIGHT(Base_Original!K306,9)=" batalhas",VALUE(LEFT(Base_Original!K306,LEN(Base_Original!K306)-9)),Base_Original!K306))</f>
        <v>31</v>
      </c>
      <c r="S306" s="42" t="str">
        <f>IF($R306="vazio","vazio",IF($R306&lt;=10,"Baixo",IF($R306&lt;=25,"Médio","Alto")))</f>
        <v>Alto</v>
      </c>
      <c r="T306" s="42" t="str">
        <f>IF(AND($S306="Alto",$Q306="Sim"),"Negada","Aprovada")</f>
        <v>Aprovada</v>
      </c>
      <c r="U306" s="43">
        <v>60500</v>
      </c>
    </row>
    <row r="307" spans="1:21">
      <c r="A307" s="47" t="s">
        <v>1161</v>
      </c>
      <c r="B307" s="37" t="str">
        <f>IF(Base_Original!A307="","vazio",IF(Base_Original!A307="ATIVO","Ativo",IF(Base_Original!A307="INATIVO","Inativo",Base_Original!A307)))</f>
        <v>Inativo</v>
      </c>
      <c r="C307" s="37" t="str">
        <f>PROPER(Base_Original!B307)</f>
        <v>Stannis Lannister</v>
      </c>
      <c r="D307" s="38">
        <v>36100</v>
      </c>
      <c r="E307" s="39" t="str">
        <f>IF($D307="","Vazio",IF(LEN(SUBSTITUTE(SUBSTITUTE($D307&amp;"",".",""),"-",""))&lt;&gt;11,"Inválido","OK"))</f>
        <v>Inválido</v>
      </c>
      <c r="F307" s="39" t="str">
        <f>IF($D307="","Vazio",IF(COUNTIF($D$2:$D$369,$D307)&gt;1,"Duplicado","Único"))</f>
        <v>Único</v>
      </c>
      <c r="G307" s="40" t="str">
        <f>IF(TRIM(Base_Original!D307)="","",SUBSTITUTE(TRIM(Base_Original!D307),"anos",""))</f>
        <v>24</v>
      </c>
      <c r="H307" s="50">
        <f>IF($J307="","Vazio",DATEDIF($J307,DATE(2026,9,10),"Y"))</f>
        <v>24</v>
      </c>
      <c r="I30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07" s="33">
        <v>37313</v>
      </c>
      <c r="K307" s="42" t="s">
        <v>180</v>
      </c>
      <c r="L307" s="42" t="str">
        <f>PROPER(Base_Original!G307)</f>
        <v>Terras Da Tempestade</v>
      </c>
      <c r="M307" s="43">
        <v>11000</v>
      </c>
      <c r="N307" s="43">
        <f>IF(ISNUMBER(Base_Original!I307),Base_Original!I307,IF(RIGHT(Base_Original!I307,7)=" moedas",VALUE(LEFT(Base_Original!I307,LEN(Base_Original!I307)-7)),Base_Original!I307))</f>
        <v>76500</v>
      </c>
      <c r="O307" s="44" t="str">
        <f>IF(AND($N307&gt;50000,$Q307="Sim"),"Negada","Aprovada")</f>
        <v>Negada</v>
      </c>
      <c r="P307" s="45">
        <f>IF(AND($T307="Negada",$O307="Negada"),0,IF($B307="Ativo",$U307*8%,"0"))</f>
        <v>0</v>
      </c>
      <c r="Q307" s="46" t="str">
        <f>IF(OR(Base_Original!J307="Sim",Base_Original!J307="sim",Base_Original!J307="SIM"),"Sim",IF(OR(Base_Original!J307="Não",Base_Original!J307="não",Base_Original!J307="NÃO",Base_Original!J307="Nao"),"Não",IF(Base_Original!J307="","vazio",Base_Original!J307)))</f>
        <v>Sim</v>
      </c>
      <c r="R307" s="46">
        <f>IF(ISNUMBER(Base_Original!K307),Base_Original!K307,IF(RIGHT(Base_Original!K307,9)=" batalhas",VALUE(LEFT(Base_Original!K307,LEN(Base_Original!K307)-9)),Base_Original!K307))</f>
        <v>33</v>
      </c>
      <c r="S307" s="42" t="str">
        <f>IF($R307="vazio","vazio",IF($R307&lt;=10,"Baixo",IF($R307&lt;=25,"Médio","Alto")))</f>
        <v>Alto</v>
      </c>
      <c r="T307" s="42" t="str">
        <f>IF(AND($S307="Alto",$Q307="Sim"),"Negada","Aprovada")</f>
        <v>Negada</v>
      </c>
      <c r="U307" s="43">
        <v>26000</v>
      </c>
    </row>
    <row r="308" spans="1:21">
      <c r="A308" s="47" t="s">
        <v>1162</v>
      </c>
      <c r="B308" s="37" t="str">
        <f>IF(Base_Original!A308="","vazio",IF(Base_Original!A308="ATIVO","Ativo",IF(Base_Original!A308="INATIVO","Inativo",Base_Original!A308)))</f>
        <v>Ativo</v>
      </c>
      <c r="C308" s="37" t="str">
        <f>PROPER(Base_Original!B308)</f>
        <v>Stannis Redwyne</v>
      </c>
      <c r="D308" s="38" t="s">
        <v>657</v>
      </c>
      <c r="E308" s="39" t="str">
        <f>IF($D308="","Vazio",IF(LEN(SUBSTITUTE(SUBSTITUTE($D308&amp;"",".",""),"-",""))&lt;&gt;11,"Inválido","OK"))</f>
        <v>OK</v>
      </c>
      <c r="F308" s="39" t="str">
        <f>IF($D308="","Vazio",IF(COUNTIF($D$2:$D$369,$D308)&gt;1,"Duplicado","Único"))</f>
        <v>Único</v>
      </c>
      <c r="G308" s="40" t="str">
        <f>IF(TRIM(Base_Original!D308)="","",SUBSTITUTE(TRIM(Base_Original!D308),"anos",""))</f>
        <v>34</v>
      </c>
      <c r="H308" s="50">
        <f>IF($J308="","Vazio",DATEDIF($J308,DATE(2026,9,10),"Y"))</f>
        <v>34</v>
      </c>
      <c r="I30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08" s="33">
        <v>33835</v>
      </c>
      <c r="K308" s="42" t="s">
        <v>418</v>
      </c>
      <c r="L308" s="42" t="str">
        <f>PROPER(Base_Original!G308)</f>
        <v/>
      </c>
      <c r="M308" s="43">
        <v>5100</v>
      </c>
      <c r="N308" s="43">
        <f>IF(ISNUMBER(Base_Original!I308),Base_Original!I308,IF(RIGHT(Base_Original!I308,7)=" moedas",VALUE(LEFT(Base_Original!I308,LEN(Base_Original!I308)-7)),Base_Original!I308))</f>
        <v>17000</v>
      </c>
      <c r="O308" s="44" t="str">
        <f>IF(AND($N308&gt;50000,$Q308="Sim"),"Negada","Aprovada")</f>
        <v>Aprovada</v>
      </c>
      <c r="P308" s="45">
        <f>IF(AND($T308="Negada",$O308="Negada"),0,IF($B308="Ativo",$U308*8%,"0"))</f>
        <v>360</v>
      </c>
      <c r="Q308" s="46" t="str">
        <f>IF(OR(Base_Original!J308="Sim",Base_Original!J308="sim",Base_Original!J308="SIM"),"Sim",IF(OR(Base_Original!J308="Não",Base_Original!J308="não",Base_Original!J308="NÃO",Base_Original!J308="Nao"),"Não",IF(Base_Original!J308="","vazio",Base_Original!J308)))</f>
        <v>Não</v>
      </c>
      <c r="R308" s="46">
        <f>IF(ISNUMBER(Base_Original!K308),Base_Original!K308,IF(RIGHT(Base_Original!K308,9)=" batalhas",VALUE(LEFT(Base_Original!K308,LEN(Base_Original!K308)-9)),Base_Original!K308))</f>
        <v>3</v>
      </c>
      <c r="S308" s="42" t="str">
        <f>IF($R308="vazio","vazio",IF($R308&lt;=10,"Baixo",IF($R308&lt;=25,"Médio","Alto")))</f>
        <v>Baixo</v>
      </c>
      <c r="T308" s="42" t="str">
        <f>IF(AND($S308="Alto",$Q308="Sim"),"Negada","Aprovada")</f>
        <v>Aprovada</v>
      </c>
      <c r="U308" s="43">
        <v>4500</v>
      </c>
    </row>
    <row r="309" spans="1:21">
      <c r="A309" s="47" t="s">
        <v>1163</v>
      </c>
      <c r="B309" s="37" t="str">
        <f>IF(Base_Original!A309="","vazio",IF(Base_Original!A309="ATIVO","Ativo",IF(Base_Original!A309="INATIVO","Inativo",Base_Original!A309)))</f>
        <v>Ativo</v>
      </c>
      <c r="C309" s="37" t="str">
        <f>PROPER(Base_Original!B309)</f>
        <v>Stannis Seaworth</v>
      </c>
      <c r="D309" s="38" t="s">
        <v>660</v>
      </c>
      <c r="E309" s="39" t="str">
        <f>IF($D309="","Vazio",IF(LEN(SUBSTITUTE(SUBSTITUTE($D309&amp;"",".",""),"-",""))&lt;&gt;11,"Inválido","OK"))</f>
        <v>OK</v>
      </c>
      <c r="F309" s="39" t="str">
        <f>IF($D309="","Vazio",IF(COUNTIF($D$2:$D$369,$D309)&gt;1,"Duplicado","Único"))</f>
        <v>Único</v>
      </c>
      <c r="G309" s="40" t="str">
        <f>IF(TRIM(Base_Original!D309)="","",SUBSTITUTE(TRIM(Base_Original!D309),"anos",""))</f>
        <v>64</v>
      </c>
      <c r="H309" s="50">
        <f>IF($J309="","Vazio",DATEDIF($J309,DATE(2026,9,10),"Y"))</f>
        <v>64</v>
      </c>
      <c r="I30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09" s="33">
        <v>22886</v>
      </c>
      <c r="K309" s="42" t="s">
        <v>44</v>
      </c>
      <c r="L309" s="42" t="str">
        <f>PROPER(Base_Original!G309)</f>
        <v>Ilhas De Ferro</v>
      </c>
      <c r="M309" s="43">
        <v>8800</v>
      </c>
      <c r="N309" s="43">
        <f>IF(ISNUMBER(Base_Original!I309),Base_Original!I309,IF(RIGHT(Base_Original!I309,7)=" moedas",VALUE(LEFT(Base_Original!I309,LEN(Base_Original!I309)-7)),Base_Original!I309))</f>
        <v>66000</v>
      </c>
      <c r="O309" s="44" t="str">
        <f>IF(AND($N309&gt;50000,$Q309="Sim"),"Negada","Aprovada")</f>
        <v>Aprovada</v>
      </c>
      <c r="P309" s="45">
        <f>IF(AND($T309="Negada",$O309="Negada"),0,IF($B309="Ativo",$U309*8%,"0"))</f>
        <v>400</v>
      </c>
      <c r="Q309" s="46" t="str">
        <f>IF(OR(Base_Original!J309="Sim",Base_Original!J309="sim",Base_Original!J309="SIM"),"Sim",IF(OR(Base_Original!J309="Não",Base_Original!J309="não",Base_Original!J309="NÃO",Base_Original!J309="Nao"),"Não",IF(Base_Original!J309="","vazio",Base_Original!J309)))</f>
        <v>Não</v>
      </c>
      <c r="R309" s="46">
        <f>IF(ISNUMBER(Base_Original!K309),Base_Original!K309,IF(RIGHT(Base_Original!K309,9)=" batalhas",VALUE(LEFT(Base_Original!K309,LEN(Base_Original!K309)-9)),Base_Original!K309))</f>
        <v>28</v>
      </c>
      <c r="S309" s="42" t="str">
        <f>IF($R309="vazio","vazio",IF($R309&lt;=10,"Baixo",IF($R309&lt;=25,"Médio","Alto")))</f>
        <v>Alto</v>
      </c>
      <c r="T309" s="42" t="str">
        <f>IF(AND($S309="Alto",$Q309="Sim"),"Negada","Aprovada")</f>
        <v>Aprovada</v>
      </c>
      <c r="U309" s="43">
        <v>5000</v>
      </c>
    </row>
    <row r="310" spans="1:21">
      <c r="A310" s="47" t="s">
        <v>1164</v>
      </c>
      <c r="B310" s="37" t="str">
        <f>IF(Base_Original!A310="","vazio",IF(Base_Original!A310="ATIVO","Ativo",IF(Base_Original!A310="INATIVO","Inativo",Base_Original!A310)))</f>
        <v>Ativo</v>
      </c>
      <c r="C310" s="37" t="str">
        <f>PROPER(Base_Original!B310)</f>
        <v>Stannis Westerling</v>
      </c>
      <c r="D310" s="38" t="s">
        <v>662</v>
      </c>
      <c r="E310" s="39" t="str">
        <f>IF($D310="","Vazio",IF(LEN(SUBSTITUTE(SUBSTITUTE($D310&amp;"",".",""),"-",""))&lt;&gt;11,"Inválido","OK"))</f>
        <v>OK</v>
      </c>
      <c r="F310" s="39" t="str">
        <f>IF($D310="","Vazio",IF(COUNTIF($D$2:$D$369,$D310)&gt;1,"Duplicado","Único"))</f>
        <v>Único</v>
      </c>
      <c r="G310" s="40" t="str">
        <f>IF(TRIM(Base_Original!D310)="","",SUBSTITUTE(TRIM(Base_Original!D310),"anos",""))</f>
        <v/>
      </c>
      <c r="H310" s="50">
        <f>IF($J310="","Vazio",DATEDIF($J310,DATE(2026,9,10),"Y"))</f>
        <v>31</v>
      </c>
      <c r="I31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310" s="33">
        <v>34769</v>
      </c>
      <c r="K310" s="42" t="s">
        <v>91</v>
      </c>
      <c r="L310" s="42" t="str">
        <f>PROPER(Base_Original!G310)</f>
        <v>Oeste</v>
      </c>
      <c r="M310" s="43">
        <v>9000</v>
      </c>
      <c r="N310" s="43">
        <f>IF(ISNUMBER(Base_Original!I310),Base_Original!I310,IF(RIGHT(Base_Original!I310,7)=" moedas",VALUE(LEFT(Base_Original!I310,LEN(Base_Original!I310)-7)),Base_Original!I310))</f>
        <v>66000</v>
      </c>
      <c r="O310" s="44" t="str">
        <f>IF(AND($N310&gt;50000,$Q310="Sim"),"Negada","Aprovada")</f>
        <v>Aprovada</v>
      </c>
      <c r="P310" s="45">
        <f>IF(AND($T310="Negada",$O310="Negada"),0,IF($B310="Ativo",$U310*8%,"0"))</f>
        <v>5760</v>
      </c>
      <c r="Q310" s="46" t="str">
        <f>IF(OR(Base_Original!J310="Sim",Base_Original!J310="sim",Base_Original!J310="SIM"),"Sim",IF(OR(Base_Original!J310="Não",Base_Original!J310="não",Base_Original!J310="NÃO",Base_Original!J310="Nao"),"Não",IF(Base_Original!J310="","vazio",Base_Original!J310)))</f>
        <v>Não</v>
      </c>
      <c r="R310" s="46">
        <f>IF(ISNUMBER(Base_Original!K310),Base_Original!K310,IF(RIGHT(Base_Original!K310,9)=" batalhas",VALUE(LEFT(Base_Original!K310,LEN(Base_Original!K310)-9)),Base_Original!K310))</f>
        <v>24</v>
      </c>
      <c r="S310" s="42" t="str">
        <f>IF($R310="vazio","vazio",IF($R310&lt;=10,"Baixo",IF($R310&lt;=25,"Médio","Alto")))</f>
        <v>Médio</v>
      </c>
      <c r="T310" s="42" t="str">
        <f>IF(AND($S310="Alto",$Q310="Sim"),"Negada","Aprovada")</f>
        <v>Aprovada</v>
      </c>
      <c r="U310" s="43">
        <v>72000</v>
      </c>
    </row>
    <row r="311" spans="1:21">
      <c r="A311" s="47" t="s">
        <v>1165</v>
      </c>
      <c r="B311" s="37" t="str">
        <f>IF(Base_Original!A311="","vazio",IF(Base_Original!A311="ATIVO","Ativo",IF(Base_Original!A311="INATIVO","Inativo",Base_Original!A311)))</f>
        <v>Inativo</v>
      </c>
      <c r="C311" s="37" t="str">
        <f>PROPER(Base_Original!B311)</f>
        <v>Theon Baelish</v>
      </c>
      <c r="D311" s="38" t="s">
        <v>664</v>
      </c>
      <c r="E311" s="39" t="str">
        <f>IF($D311="","Vazio",IF(LEN(SUBSTITUTE(SUBSTITUTE($D311&amp;"",".",""),"-",""))&lt;&gt;11,"Inválido","OK"))</f>
        <v>OK</v>
      </c>
      <c r="F311" s="39" t="str">
        <f>IF($D311="","Vazio",IF(COUNTIF($D$2:$D$369,$D311)&gt;1,"Duplicado","Único"))</f>
        <v>Único</v>
      </c>
      <c r="G311" s="40" t="str">
        <f>IF(TRIM(Base_Original!D311)="","",SUBSTITUTE(TRIM(Base_Original!D311),"anos",""))</f>
        <v>36</v>
      </c>
      <c r="H311" s="50">
        <f>IF($J311="","Vazio",DATEDIF($J311,DATE(2026,9,10),"Y"))</f>
        <v>36</v>
      </c>
      <c r="I31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11" s="33">
        <v>32914</v>
      </c>
      <c r="K311" s="42" t="s">
        <v>150</v>
      </c>
      <c r="L311" s="42" t="str">
        <f>PROPER(Base_Original!G311)</f>
        <v>Gargalo</v>
      </c>
      <c r="M311" s="43">
        <v>27600</v>
      </c>
      <c r="N311" s="43">
        <f>IF(ISNUMBER(Base_Original!I311),Base_Original!I311,IF(RIGHT(Base_Original!I311,7)=" moedas",VALUE(LEFT(Base_Original!I311,LEN(Base_Original!I311)-7)),Base_Original!I311))</f>
        <v>37000</v>
      </c>
      <c r="O311" s="44" t="str">
        <f>IF(AND($N311&gt;50000,$Q311="Sim"),"Negada","Aprovada")</f>
        <v>Aprovada</v>
      </c>
      <c r="P311" s="45" t="str">
        <f>IF(AND($T311="Negada",$O311="Negada"),0,IF($B311="Ativo",$U311*8%,"0"))</f>
        <v>0</v>
      </c>
      <c r="Q311" s="46" t="str">
        <f>IF(OR(Base_Original!J311="Sim",Base_Original!J311="sim",Base_Original!J311="SIM"),"Sim",IF(OR(Base_Original!J311="Não",Base_Original!J311="não",Base_Original!J311="NÃO",Base_Original!J311="Nao"),"Não",IF(Base_Original!J311="","vazio",Base_Original!J311)))</f>
        <v>Não</v>
      </c>
      <c r="R311" s="46">
        <f>IF(ISNUMBER(Base_Original!K311),Base_Original!K311,IF(RIGHT(Base_Original!K311,9)=" batalhas",VALUE(LEFT(Base_Original!K311,LEN(Base_Original!K311)-9)),Base_Original!K311))</f>
        <v>15</v>
      </c>
      <c r="S311" s="42" t="str">
        <f>IF($R311="vazio","vazio",IF($R311&lt;=10,"Baixo",IF($R311&lt;=25,"Médio","Alto")))</f>
        <v>Médio</v>
      </c>
      <c r="T311" s="42" t="str">
        <f>IF(AND($S311="Alto",$Q311="Sim"),"Negada","Aprovada")</f>
        <v>Aprovada</v>
      </c>
      <c r="U311" s="43">
        <v>41500</v>
      </c>
    </row>
    <row r="312" spans="1:21">
      <c r="A312" s="47" t="s">
        <v>1166</v>
      </c>
      <c r="B312" s="37" t="str">
        <f>IF(Base_Original!A312="","vazio",IF(Base_Original!A312="ATIVO","Ativo",IF(Base_Original!A312="INATIVO","Inativo",Base_Original!A312)))</f>
        <v>Ativo</v>
      </c>
      <c r="C312" s="37" t="str">
        <f>PROPER(Base_Original!B312)</f>
        <v>Theon Baratheon</v>
      </c>
      <c r="D312" s="38" t="s">
        <v>666</v>
      </c>
      <c r="E312" s="39" t="str">
        <f>IF($D312="","Vazio",IF(LEN(SUBSTITUTE(SUBSTITUTE($D312&amp;"",".",""),"-",""))&lt;&gt;11,"Inválido","OK"))</f>
        <v>OK</v>
      </c>
      <c r="F312" s="39" t="str">
        <f>IF($D312="","Vazio",IF(COUNTIF($D$2:$D$369,$D312)&gt;1,"Duplicado","Único"))</f>
        <v>Único</v>
      </c>
      <c r="G312" s="40" t="str">
        <f>IF(TRIM(Base_Original!D312)="","",SUBSTITUTE(TRIM(Base_Original!D312),"anos",""))</f>
        <v>26</v>
      </c>
      <c r="H312" s="50">
        <f>IF($J312="","Vazio",DATEDIF($J312,DATE(2026,9,10),"Y"))</f>
        <v>26</v>
      </c>
      <c r="I31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12" s="33">
        <v>36622</v>
      </c>
      <c r="K312" s="42" t="s">
        <v>34</v>
      </c>
      <c r="L312" s="42" t="str">
        <f>PROPER(Base_Original!G312)</f>
        <v>Dorne</v>
      </c>
      <c r="M312" s="43">
        <v>22900</v>
      </c>
      <c r="N312" s="43">
        <f>IF(ISNUMBER(Base_Original!I312),Base_Original!I312,IF(RIGHT(Base_Original!I312,7)=" moedas",VALUE(LEFT(Base_Original!I312,LEN(Base_Original!I312)-7)),Base_Original!I312))</f>
        <v>65500</v>
      </c>
      <c r="O312" s="44" t="str">
        <f>IF(AND($N312&gt;50000,$Q312="Sim"),"Negada","Aprovada")</f>
        <v>Negada</v>
      </c>
      <c r="P312" s="45">
        <f>IF(AND($T312="Negada",$O312="Negada"),0,IF($B312="Ativo",$U312*8%,"0"))</f>
        <v>0</v>
      </c>
      <c r="Q312" s="46" t="str">
        <f>IF(OR(Base_Original!J312="Sim",Base_Original!J312="sim",Base_Original!J312="SIM"),"Sim",IF(OR(Base_Original!J312="Não",Base_Original!J312="não",Base_Original!J312="NÃO",Base_Original!J312="Nao"),"Não",IF(Base_Original!J312="","vazio",Base_Original!J312)))</f>
        <v>Sim</v>
      </c>
      <c r="R312" s="46">
        <f>IF(ISNUMBER(Base_Original!K312),Base_Original!K312,IF(RIGHT(Base_Original!K312,9)=" batalhas",VALUE(LEFT(Base_Original!K312,LEN(Base_Original!K312)-9)),Base_Original!K312))</f>
        <v>40</v>
      </c>
      <c r="S312" s="42" t="str">
        <f>IF($R312="vazio","vazio",IF($R312&lt;=10,"Baixo",IF($R312&lt;=25,"Médio","Alto")))</f>
        <v>Alto</v>
      </c>
      <c r="T312" s="42" t="str">
        <f>IF(AND($S312="Alto",$Q312="Sim"),"Negada","Aprovada")</f>
        <v>Negada</v>
      </c>
      <c r="U312" s="43">
        <v>95500</v>
      </c>
    </row>
    <row r="313" spans="1:21">
      <c r="A313" s="47" t="s">
        <v>1167</v>
      </c>
      <c r="B313" s="37" t="str">
        <f>IF(Base_Original!A313="","vazio",IF(Base_Original!A313="ATIVO","Ativo",IF(Base_Original!A313="INATIVO","Inativo",Base_Original!A313)))</f>
        <v>Ativoo</v>
      </c>
      <c r="C313" s="37" t="str">
        <f>PROPER(Base_Original!B313)</f>
        <v>Theon Frey</v>
      </c>
      <c r="D313" s="38" t="s">
        <v>670</v>
      </c>
      <c r="E313" s="39" t="str">
        <f>IF($D313="","Vazio",IF(LEN(SUBSTITUTE(SUBSTITUTE($D313&amp;"",".",""),"-",""))&lt;&gt;11,"Inválido","OK"))</f>
        <v>OK</v>
      </c>
      <c r="F313" s="39" t="str">
        <f>IF($D313="","Vazio",IF(COUNTIF($D$2:$D$369,$D313)&gt;1,"Duplicado","Único"))</f>
        <v>Único</v>
      </c>
      <c r="G313" s="40" t="str">
        <f>IF(TRIM(Base_Original!D313)="","",SUBSTITUTE(TRIM(Base_Original!D313),"anos",""))</f>
        <v>19</v>
      </c>
      <c r="H313" s="50">
        <f>IF($J313="","Vazio",DATEDIF($J313,DATE(2026,9,10),"Y"))</f>
        <v>19</v>
      </c>
      <c r="I31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13" s="33">
        <v>39209</v>
      </c>
      <c r="K313" s="42" t="s">
        <v>275</v>
      </c>
      <c r="L313" s="42" t="str">
        <f>PROPER(Base_Original!G313)</f>
        <v>Campina</v>
      </c>
      <c r="M313" s="43">
        <v>7200</v>
      </c>
      <c r="N313" s="43">
        <f>IF(ISNUMBER(Base_Original!I313),Base_Original!I313,IF(RIGHT(Base_Original!I313,7)=" moedas",VALUE(LEFT(Base_Original!I313,LEN(Base_Original!I313)-7)),Base_Original!I313))</f>
        <v>16000</v>
      </c>
      <c r="O313" s="44" t="str">
        <f>IF(AND($N313&gt;50000,$Q313="Sim"),"Negada","Aprovada")</f>
        <v>Aprovada</v>
      </c>
      <c r="P313" s="45" t="str">
        <f>IF(AND($T313="Negada",$O313="Negada"),0,IF($B313="Ativo",$U313*8%,"0"))</f>
        <v>0</v>
      </c>
      <c r="Q313" s="46" t="str">
        <f>IF(OR(Base_Original!J313="Sim",Base_Original!J313="sim",Base_Original!J313="SIM"),"Sim",IF(OR(Base_Original!J313="Não",Base_Original!J313="não",Base_Original!J313="NÃO",Base_Original!J313="Nao"),"Não",IF(Base_Original!J313="","vazio",Base_Original!J313)))</f>
        <v>Não</v>
      </c>
      <c r="R313" s="46">
        <f>IF(ISNUMBER(Base_Original!K313),Base_Original!K313,IF(RIGHT(Base_Original!K313,9)=" batalhas",VALUE(LEFT(Base_Original!K313,LEN(Base_Original!K313)-9)),Base_Original!K313))</f>
        <v>5</v>
      </c>
      <c r="S313" s="42" t="str">
        <f>IF($R313="vazio","vazio",IF($R313&lt;=10,"Baixo",IF($R313&lt;=25,"Médio","Alto")))</f>
        <v>Baixo</v>
      </c>
      <c r="T313" s="42" t="str">
        <f>IF(AND($S313="Alto",$Q313="Sim"),"Negada","Aprovada")</f>
        <v>Aprovada</v>
      </c>
      <c r="U313" s="43">
        <v>52000</v>
      </c>
    </row>
    <row r="314" spans="1:21">
      <c r="A314" s="47" t="s">
        <v>1168</v>
      </c>
      <c r="B314" s="37" t="str">
        <f>IF(Base_Original!A314="","vazio",IF(Base_Original!A314="ATIVO","Ativo",IF(Base_Original!A314="INATIVO","Inativo",Base_Original!A314)))</f>
        <v>Ativo</v>
      </c>
      <c r="C314" s="37" t="str">
        <f>PROPER(Base_Original!B314)</f>
        <v>Theon Karstark</v>
      </c>
      <c r="D314" s="38" t="s">
        <v>672</v>
      </c>
      <c r="E314" s="39" t="str">
        <f>IF($D314="","Vazio",IF(LEN(SUBSTITUTE(SUBSTITUTE($D314&amp;"",".",""),"-",""))&lt;&gt;11,"Inválido","OK"))</f>
        <v>OK</v>
      </c>
      <c r="F314" s="39" t="str">
        <f>IF($D314="","Vazio",IF(COUNTIF($D$2:$D$369,$D314)&gt;1,"Duplicado","Único"))</f>
        <v>Único</v>
      </c>
      <c r="G314" s="40" t="str">
        <f>IF(TRIM(Base_Original!D314)="","",SUBSTITUTE(TRIM(Base_Original!D314),"anos",""))</f>
        <v>71</v>
      </c>
      <c r="H314" s="50">
        <f>IF($J314="","Vazio",DATEDIF($J314,DATE(2026,9,10),"Y"))</f>
        <v>71</v>
      </c>
      <c r="I31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14" s="33">
        <v>20187</v>
      </c>
      <c r="K314" s="42" t="s">
        <v>62</v>
      </c>
      <c r="L314" s="42" t="str">
        <f>PROPER(Base_Original!G314)</f>
        <v>Essos</v>
      </c>
      <c r="M314" s="43">
        <v>29200</v>
      </c>
      <c r="N314" s="43">
        <f>IF(ISNUMBER(Base_Original!I314),Base_Original!I314,IF(RIGHT(Base_Original!I314,7)=" moedas",VALUE(LEFT(Base_Original!I314,LEN(Base_Original!I314)-7)),Base_Original!I314))</f>
        <v>73500</v>
      </c>
      <c r="O314" s="44" t="str">
        <f>IF(AND($N314&gt;50000,$Q314="Sim"),"Negada","Aprovada")</f>
        <v>Aprovada</v>
      </c>
      <c r="P314" s="45">
        <f>IF(AND($T314="Negada",$O314="Negada"),0,IF($B314="Ativo",$U314*8%,"0"))</f>
        <v>2640</v>
      </c>
      <c r="Q314" s="46" t="str">
        <f>IF(OR(Base_Original!J314="Sim",Base_Original!J314="sim",Base_Original!J314="SIM"),"Sim",IF(OR(Base_Original!J314="Não",Base_Original!J314="não",Base_Original!J314="NÃO",Base_Original!J314="Nao"),"Não",IF(Base_Original!J314="","vazio",Base_Original!J314)))</f>
        <v>Não</v>
      </c>
      <c r="R314" s="46">
        <f>IF(ISNUMBER(Base_Original!K314),Base_Original!K314,IF(RIGHT(Base_Original!K314,9)=" batalhas",VALUE(LEFT(Base_Original!K314,LEN(Base_Original!K314)-9)),Base_Original!K314))</f>
        <v>2</v>
      </c>
      <c r="S314" s="42" t="str">
        <f>IF($R314="vazio","vazio",IF($R314&lt;=10,"Baixo",IF($R314&lt;=25,"Médio","Alto")))</f>
        <v>Baixo</v>
      </c>
      <c r="T314" s="42" t="str">
        <f>IF(AND($S314="Alto",$Q314="Sim"),"Negada","Aprovada")</f>
        <v>Aprovada</v>
      </c>
      <c r="U314" s="43">
        <v>33000</v>
      </c>
    </row>
    <row r="315" spans="1:21">
      <c r="A315" s="47" t="s">
        <v>1169</v>
      </c>
      <c r="B315" s="37" t="str">
        <f>IF(Base_Original!A315="","vazio",IF(Base_Original!A315="ATIVO","Ativo",IF(Base_Original!A315="INATIVO","Inativo",Base_Original!A315)))</f>
        <v>Inativo</v>
      </c>
      <c r="C315" s="37" t="str">
        <f>PROPER(Base_Original!B315)</f>
        <v>Theon Tarth</v>
      </c>
      <c r="D315" s="38" t="s">
        <v>674</v>
      </c>
      <c r="E315" s="39" t="str">
        <f>IF($D315="","Vazio",IF(LEN(SUBSTITUTE(SUBSTITUTE($D315&amp;"",".",""),"-",""))&lt;&gt;11,"Inválido","OK"))</f>
        <v>OK</v>
      </c>
      <c r="F315" s="39" t="str">
        <f>IF($D315="","Vazio",IF(COUNTIF($D$2:$D$369,$D315)&gt;1,"Duplicado","Único"))</f>
        <v>Único</v>
      </c>
      <c r="G315" s="40" t="str">
        <f>IF(TRIM(Base_Original!D315)="","",SUBSTITUTE(TRIM(Base_Original!D315),"anos",""))</f>
        <v>74</v>
      </c>
      <c r="H315" s="50">
        <f>IF($J315="","Vazio",DATEDIF($J315,DATE(2026,9,10),"Y"))</f>
        <v>74</v>
      </c>
      <c r="I31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15" s="33">
        <v>19073</v>
      </c>
      <c r="K315" s="42" t="s">
        <v>91</v>
      </c>
      <c r="L315" s="42" t="str">
        <f>PROPER(Base_Original!G315)</f>
        <v/>
      </c>
      <c r="M315" s="43">
        <v>7100</v>
      </c>
      <c r="N315" s="43">
        <f>IF(ISNUMBER(Base_Original!I315),Base_Original!I315,IF(RIGHT(Base_Original!I315,7)=" moedas",VALUE(LEFT(Base_Original!I315,LEN(Base_Original!I315)-7)),Base_Original!I315))</f>
        <v>61500</v>
      </c>
      <c r="O315" s="44" t="str">
        <f>IF(AND($N315&gt;50000,$Q315="Sim"),"Negada","Aprovada")</f>
        <v>Aprovada</v>
      </c>
      <c r="P315" s="45" t="str">
        <f>IF(AND($T315="Negada",$O315="Negada"),0,IF($B315="Ativo",$U315*8%,"0"))</f>
        <v>0</v>
      </c>
      <c r="Q315" s="46" t="str">
        <f>IF(OR(Base_Original!J315="Sim",Base_Original!J315="sim",Base_Original!J315="SIM"),"Sim",IF(OR(Base_Original!J315="Não",Base_Original!J315="não",Base_Original!J315="NÃO",Base_Original!J315="Nao"),"Não",IF(Base_Original!J315="","vazio",Base_Original!J315)))</f>
        <v>Não</v>
      </c>
      <c r="R315" s="46">
        <f>IF(ISNUMBER(Base_Original!K315),Base_Original!K315,IF(RIGHT(Base_Original!K315,9)=" batalhas",VALUE(LEFT(Base_Original!K315,LEN(Base_Original!K315)-9)),Base_Original!K315))</f>
        <v>1</v>
      </c>
      <c r="S315" s="42" t="str">
        <f>IF($R315="vazio","vazio",IF($R315&lt;=10,"Baixo",IF($R315&lt;=25,"Médio","Alto")))</f>
        <v>Baixo</v>
      </c>
      <c r="T315" s="42" t="str">
        <f>IF(AND($S315="Alto",$Q315="Sim"),"Negada","Aprovada")</f>
        <v>Aprovada</v>
      </c>
      <c r="U315" s="43">
        <v>50500</v>
      </c>
    </row>
    <row r="316" spans="1:21">
      <c r="A316" s="47" t="s">
        <v>1170</v>
      </c>
      <c r="B316" s="37" t="str">
        <f>IF(Base_Original!A316="","vazio",IF(Base_Original!A316="ATIVO","Ativo",IF(Base_Original!A316="INATIVO","Inativo",Base_Original!A316)))</f>
        <v>Ativo</v>
      </c>
      <c r="C316" s="37" t="str">
        <f>PROPER(Base_Original!B316)</f>
        <v>Thoros  Baelish</v>
      </c>
      <c r="D316" s="38" t="s">
        <v>676</v>
      </c>
      <c r="E316" s="39" t="str">
        <f>IF($D316="","Vazio",IF(LEN(SUBSTITUTE(SUBSTITUTE($D316&amp;"",".",""),"-",""))&lt;&gt;11,"Inválido","OK"))</f>
        <v>OK</v>
      </c>
      <c r="F316" s="39" t="str">
        <f>IF($D316="","Vazio",IF(COUNTIF($D$2:$D$369,$D316)&gt;1,"Duplicado","Único"))</f>
        <v>Único</v>
      </c>
      <c r="G316" s="40" t="str">
        <f>IF(TRIM(Base_Original!D316)="","",SUBSTITUTE(TRIM(Base_Original!D316),"anos",""))</f>
        <v>53</v>
      </c>
      <c r="H316" s="50">
        <f>IF($J316="","Vazio",DATEDIF($J316,DATE(2026,9,10),"Y"))</f>
        <v>53</v>
      </c>
      <c r="I31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16" s="33">
        <v>26812</v>
      </c>
      <c r="K316" s="42" t="s">
        <v>30</v>
      </c>
      <c r="L316" s="42" t="str">
        <f>PROPER(Base_Original!G316)</f>
        <v>Essos</v>
      </c>
      <c r="M316" s="43">
        <v>27800</v>
      </c>
      <c r="N316" s="43">
        <f>IF(ISNUMBER(Base_Original!I316),Base_Original!I316,IF(RIGHT(Base_Original!I316,7)=" moedas",VALUE(LEFT(Base_Original!I316,LEN(Base_Original!I316)-7)),Base_Original!I316))</f>
        <v>52000</v>
      </c>
      <c r="O316" s="44" t="str">
        <f>IF(AND($N316&gt;50000,$Q316="Sim"),"Negada","Aprovada")</f>
        <v>Aprovada</v>
      </c>
      <c r="P316" s="45">
        <f>IF(AND($T316="Negada",$O316="Negada"),0,IF($B316="Ativo",$U316*8%,"0"))</f>
        <v>7480</v>
      </c>
      <c r="Q316" s="46" t="str">
        <f>IF(OR(Base_Original!J316="Sim",Base_Original!J316="sim",Base_Original!J316="SIM"),"Sim",IF(OR(Base_Original!J316="Não",Base_Original!J316="não",Base_Original!J316="NÃO",Base_Original!J316="Nao"),"Não",IF(Base_Original!J316="","vazio",Base_Original!J316)))</f>
        <v>Não</v>
      </c>
      <c r="R316" s="46">
        <f>IF(ISNUMBER(Base_Original!K316),Base_Original!K316,IF(RIGHT(Base_Original!K316,9)=" batalhas",VALUE(LEFT(Base_Original!K316,LEN(Base_Original!K316)-9)),Base_Original!K316))</f>
        <v>43</v>
      </c>
      <c r="S316" s="42" t="str">
        <f>IF($R316="vazio","vazio",IF($R316&lt;=10,"Baixo",IF($R316&lt;=25,"Médio","Alto")))</f>
        <v>Alto</v>
      </c>
      <c r="T316" s="42" t="str">
        <f>IF(AND($S316="Alto",$Q316="Sim"),"Negada","Aprovada")</f>
        <v>Aprovada</v>
      </c>
      <c r="U316" s="43">
        <v>93500</v>
      </c>
    </row>
    <row r="317" spans="1:21">
      <c r="A317" s="47" t="s">
        <v>1171</v>
      </c>
      <c r="B317" s="37" t="str">
        <f>IF(Base_Original!A317="","vazio",IF(Base_Original!A317="ATIVO","Ativo",IF(Base_Original!A317="INATIVO","Inativo",Base_Original!A317)))</f>
        <v>Ativo</v>
      </c>
      <c r="C317" s="37" t="str">
        <f>PROPER(Base_Original!B317)</f>
        <v>Thoros  Frey</v>
      </c>
      <c r="D317" s="38" t="s">
        <v>678</v>
      </c>
      <c r="E317" s="39" t="str">
        <f>IF($D317="","Vazio",IF(LEN(SUBSTITUTE(SUBSTITUTE($D317&amp;"",".",""),"-",""))&lt;&gt;11,"Inválido","OK"))</f>
        <v>OK</v>
      </c>
      <c r="F317" s="39" t="str">
        <f>IF($D317="","Vazio",IF(COUNTIF($D$2:$D$369,$D317)&gt;1,"Duplicado","Único"))</f>
        <v>Único</v>
      </c>
      <c r="G317" s="40" t="str">
        <f>IF(TRIM(Base_Original!D317)="","",SUBSTITUTE(TRIM(Base_Original!D317),"anos",""))</f>
        <v>55</v>
      </c>
      <c r="H317" s="50">
        <f>IF($J317="","Vazio",DATEDIF($J317,DATE(2026,9,10),"Y"))</f>
        <v>55</v>
      </c>
      <c r="I31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17" s="33">
        <v>25844</v>
      </c>
      <c r="K317" s="42" t="s">
        <v>20</v>
      </c>
      <c r="L317" s="42" t="str">
        <f>PROPER(Base_Original!G317)</f>
        <v>Campina</v>
      </c>
      <c r="M317" s="43">
        <v>17400</v>
      </c>
      <c r="N317" s="43">
        <f>IF(ISNUMBER(Base_Original!I317),Base_Original!I317,IF(RIGHT(Base_Original!I317,7)=" moedas",VALUE(LEFT(Base_Original!I317,LEN(Base_Original!I317)-7)),Base_Original!I317))</f>
        <v>75500</v>
      </c>
      <c r="O317" s="44" t="str">
        <f>IF(AND($N317&gt;50000,$Q317="Sim"),"Negada","Aprovada")</f>
        <v>Aprovada</v>
      </c>
      <c r="P317" s="45">
        <f>IF(AND($T317="Negada",$O317="Negada"),0,IF($B317="Ativo",$U317*8%,"0"))</f>
        <v>4160</v>
      </c>
      <c r="Q317" s="46" t="str">
        <f>IF(OR(Base_Original!J317="Sim",Base_Original!J317="sim",Base_Original!J317="SIM"),"Sim",IF(OR(Base_Original!J317="Não",Base_Original!J317="não",Base_Original!J317="NÃO",Base_Original!J317="Nao"),"Não",IF(Base_Original!J317="","vazio",Base_Original!J317)))</f>
        <v>Não</v>
      </c>
      <c r="R317" s="46">
        <f>IF(ISNUMBER(Base_Original!K317),Base_Original!K317,IF(RIGHT(Base_Original!K317,9)=" batalhas",VALUE(LEFT(Base_Original!K317,LEN(Base_Original!K317)-9)),Base_Original!K317))</f>
        <v>9</v>
      </c>
      <c r="S317" s="42" t="str">
        <f>IF($R317="vazio","vazio",IF($R317&lt;=10,"Baixo",IF($R317&lt;=25,"Médio","Alto")))</f>
        <v>Baixo</v>
      </c>
      <c r="T317" s="42" t="str">
        <f>IF(AND($S317="Alto",$Q317="Sim"),"Negada","Aprovada")</f>
        <v>Aprovada</v>
      </c>
      <c r="U317" s="43">
        <v>52000</v>
      </c>
    </row>
    <row r="318" spans="1:21">
      <c r="A318" s="47" t="s">
        <v>1172</v>
      </c>
      <c r="B318" s="37" t="str">
        <f>IF(Base_Original!A318="","vazio",IF(Base_Original!A318="ATIVO","Ativo",IF(Base_Original!A318="INATIVO","Inativo",Base_Original!A318)))</f>
        <v>Ativo</v>
      </c>
      <c r="C318" s="37" t="str">
        <f>PROPER(Base_Original!B318)</f>
        <v>Thoros Clegane</v>
      </c>
      <c r="D318" s="38" t="s">
        <v>680</v>
      </c>
      <c r="E318" s="39" t="str">
        <f>IF($D318="","Vazio",IF(LEN(SUBSTITUTE(SUBSTITUTE($D318&amp;"",".",""),"-",""))&lt;&gt;11,"Inválido","OK"))</f>
        <v>OK</v>
      </c>
      <c r="F318" s="39" t="str">
        <f>IF($D318="","Vazio",IF(COUNTIF($D$2:$D$369,$D318)&gt;1,"Duplicado","Único"))</f>
        <v>Único</v>
      </c>
      <c r="G318" s="40" t="str">
        <f>IF(TRIM(Base_Original!D318)="","",SUBSTITUTE(TRIM(Base_Original!D318),"anos",""))</f>
        <v>28</v>
      </c>
      <c r="H318" s="50">
        <f>IF($J318="","Vazio",DATEDIF($J318,DATE(2026,9,10),"Y"))</f>
        <v>28</v>
      </c>
      <c r="I31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18" s="33">
        <v>35993</v>
      </c>
      <c r="K318" s="42" t="s">
        <v>91</v>
      </c>
      <c r="L318" s="42" t="str">
        <f>PROPER(Base_Original!G318)</f>
        <v>Oeste</v>
      </c>
      <c r="M318" s="43">
        <v>13400</v>
      </c>
      <c r="N318" s="43">
        <f>IF(ISNUMBER(Base_Original!I318),Base_Original!I318,IF(RIGHT(Base_Original!I318,7)=" moedas",VALUE(LEFT(Base_Original!I318,LEN(Base_Original!I318)-7)),Base_Original!I318))</f>
        <v>54000</v>
      </c>
      <c r="O318" s="44" t="str">
        <f>IF(AND($N318&gt;50000,$Q318="Sim"),"Negada","Aprovada")</f>
        <v>Aprovada</v>
      </c>
      <c r="P318" s="45">
        <f>IF(AND($T318="Negada",$O318="Negada"),0,IF($B318="Ativo",$U318*8%,"0"))</f>
        <v>7920</v>
      </c>
      <c r="Q318" s="46" t="str">
        <f>IF(OR(Base_Original!J318="Sim",Base_Original!J318="sim",Base_Original!J318="SIM"),"Sim",IF(OR(Base_Original!J318="Não",Base_Original!J318="não",Base_Original!J318="NÃO",Base_Original!J318="Nao"),"Não",IF(Base_Original!J318="","vazio",Base_Original!J318)))</f>
        <v>Não</v>
      </c>
      <c r="R318" s="46">
        <f>IF(ISNUMBER(Base_Original!K318),Base_Original!K318,IF(RIGHT(Base_Original!K318,9)=" batalhas",VALUE(LEFT(Base_Original!K318,LEN(Base_Original!K318)-9)),Base_Original!K318))</f>
        <v>15</v>
      </c>
      <c r="S318" s="42" t="str">
        <f>IF($R318="vazio","vazio",IF($R318&lt;=10,"Baixo",IF($R318&lt;=25,"Médio","Alto")))</f>
        <v>Médio</v>
      </c>
      <c r="T318" s="42" t="str">
        <f>IF(AND($S318="Alto",$Q318="Sim"),"Negada","Aprovada")</f>
        <v>Aprovada</v>
      </c>
      <c r="U318" s="43">
        <v>99000</v>
      </c>
    </row>
    <row r="319" spans="1:21">
      <c r="A319" s="47" t="s">
        <v>1173</v>
      </c>
      <c r="B319" s="37" t="str">
        <f>IF(Base_Original!A320="","vazio",IF(Base_Original!A320="ATIVO","Ativo",IF(Base_Original!A320="INATIVO","Inativo",Base_Original!A320)))</f>
        <v>Ativo</v>
      </c>
      <c r="C319" s="37" t="str">
        <f>PROPER(Base_Original!B320)</f>
        <v>Thoros Crakehall</v>
      </c>
      <c r="D319" s="38">
        <v>19300</v>
      </c>
      <c r="E319" s="39" t="str">
        <f>IF($D319="","Vazio",IF(LEN(SUBSTITUTE(SUBSTITUTE($D319&amp;"",".",""),"-",""))&lt;&gt;11,"Inválido","OK"))</f>
        <v>Inválido</v>
      </c>
      <c r="F319" s="39" t="str">
        <f>IF($D319="","Vazio",IF(COUNTIF($D$2:$D$369,$D319)&gt;1,"Duplicado","Único"))</f>
        <v>Duplicado</v>
      </c>
      <c r="G319" s="40" t="str">
        <f>IF(TRIM(Base_Original!D319)="","",SUBSTITUTE(TRIM(Base_Original!D319),"anos",""))</f>
        <v>74</v>
      </c>
      <c r="H319" s="50">
        <f>IF($J319="","Vazio",DATEDIF($J319,DATE(2026,9,10),"Y"))</f>
        <v>74</v>
      </c>
      <c r="I31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19" s="33">
        <v>19131</v>
      </c>
      <c r="K319" s="42" t="s">
        <v>104</v>
      </c>
      <c r="L319" s="42" t="str">
        <f>PROPER(Base_Original!G320)</f>
        <v>Terras Da Coroa</v>
      </c>
      <c r="M319" s="43">
        <v>20700</v>
      </c>
      <c r="N319" s="43">
        <f>IF(ISNUMBER(Base_Original!I320),Base_Original!I320,IF(RIGHT(Base_Original!I320,7)=" moedas",VALUE(LEFT(Base_Original!I320,LEN(Base_Original!I320)-7)),Base_Original!I320))</f>
        <v>17500</v>
      </c>
      <c r="O319" s="44" t="str">
        <f>IF(AND($N319&gt;50000,$Q319="Sim"),"Negada","Aprovada")</f>
        <v>Aprovada</v>
      </c>
      <c r="P319" s="45">
        <f>IF(AND($T319="Negada",$O319="Negada"),0,IF($B319="Ativo",$U319*8%,"0"))</f>
        <v>5480</v>
      </c>
      <c r="Q319" s="46" t="str">
        <f>IF(OR(Base_Original!J320="Sim",Base_Original!J320="sim",Base_Original!J320="SIM"),"Sim",IF(OR(Base_Original!J320="Não",Base_Original!J320="não",Base_Original!J320="NÃO",Base_Original!J320="Nao"),"Não",IF(Base_Original!J320="","vazio",Base_Original!J320)))</f>
        <v>Não</v>
      </c>
      <c r="R319" s="46">
        <f>IF(ISNUMBER(Base_Original!K320),Base_Original!K320,IF(RIGHT(Base_Original!K320,9)=" batalhas",VALUE(LEFT(Base_Original!K320,LEN(Base_Original!K320)-9)),Base_Original!K320))</f>
        <v>35</v>
      </c>
      <c r="S319" s="42" t="str">
        <f>IF($R319="vazio","vazio",IF($R319&lt;=10,"Baixo",IF($R319&lt;=25,"Médio","Alto")))</f>
        <v>Alto</v>
      </c>
      <c r="T319" s="42" t="str">
        <f>IF(AND($S319="Alto",$Q319="Sim"),"Negada","Aprovada")</f>
        <v>Aprovada</v>
      </c>
      <c r="U319" s="43">
        <v>68500</v>
      </c>
    </row>
    <row r="320" spans="1:21">
      <c r="A320" s="47" t="s">
        <v>1174</v>
      </c>
      <c r="B320" s="37" t="str">
        <f>IF(Base_Original!A319="","vazio",IF(Base_Original!A319="ATIVO","Ativo",IF(Base_Original!A319="INATIVO","Inativo",Base_Original!A319)))</f>
        <v>Ativo</v>
      </c>
      <c r="C320" s="37" t="str">
        <f>PROPER(Base_Original!B319)</f>
        <v>Thoros Crakehall</v>
      </c>
      <c r="D320" s="38">
        <v>19300</v>
      </c>
      <c r="E320" s="39" t="str">
        <f>IF($D320="","Vazio",IF(LEN(SUBSTITUTE(SUBSTITUTE($D320&amp;"",".",""),"-",""))&lt;&gt;11,"Inválido","OK"))</f>
        <v>Inválido</v>
      </c>
      <c r="F320" s="39" t="str">
        <f>IF($D320="","Vazio",IF(COUNTIF($D$2:$D$369,$D320)&gt;1,"Duplicado","Único"))</f>
        <v>Duplicado</v>
      </c>
      <c r="G320" s="40" t="str">
        <f>IF(TRIM(Base_Original!D320)="","",SUBSTITUTE(TRIM(Base_Original!D320),"anos",""))</f>
        <v>74</v>
      </c>
      <c r="H320" s="50">
        <f>IF($J320="","Vazio",DATEDIF($J320,DATE(2026,9,10),"Y"))</f>
        <v>74</v>
      </c>
      <c r="I32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20" s="33">
        <v>19131</v>
      </c>
      <c r="K320" s="42" t="s">
        <v>104</v>
      </c>
      <c r="L320" s="42" t="str">
        <f>PROPER(Base_Original!G319)</f>
        <v>Terras Da Coroa</v>
      </c>
      <c r="M320" s="43">
        <v>20700</v>
      </c>
      <c r="N320" s="43">
        <f>IF(ISNUMBER(Base_Original!I319),Base_Original!I319,IF(RIGHT(Base_Original!I319,7)=" moedas",VALUE(LEFT(Base_Original!I319,LEN(Base_Original!I319)-7)),Base_Original!I319))</f>
        <v>17500</v>
      </c>
      <c r="O320" s="44" t="str">
        <f>IF(AND($N320&gt;50000,$Q320="Sim"),"Negada","Aprovada")</f>
        <v>Aprovada</v>
      </c>
      <c r="P320" s="45">
        <f>IF(AND($T320="Negada",$O320="Negada"),0,IF($B320="Ativo",$U320*8%,"0"))</f>
        <v>5200</v>
      </c>
      <c r="Q320" s="46" t="str">
        <f>IF(OR(Base_Original!J319="Sim",Base_Original!J319="sim",Base_Original!J319="SIM"),"Sim",IF(OR(Base_Original!J319="Não",Base_Original!J319="não",Base_Original!J319="NÃO",Base_Original!J319="Nao"),"Não",IF(Base_Original!J319="","vazio",Base_Original!J319)))</f>
        <v>Não</v>
      </c>
      <c r="R320" s="46">
        <f>IF(ISNUMBER(Base_Original!K319),Base_Original!K319,IF(RIGHT(Base_Original!K319,9)=" batalhas",VALUE(LEFT(Base_Original!K319,LEN(Base_Original!K319)-9)),Base_Original!K319))</f>
        <v>35</v>
      </c>
      <c r="S320" s="42" t="str">
        <f>IF($R320="vazio","vazio",IF($R320&lt;=10,"Baixo",IF($R320&lt;=25,"Médio","Alto")))</f>
        <v>Alto</v>
      </c>
      <c r="T320" s="42" t="str">
        <f>IF(AND($S320="Alto",$Q320="Sim"),"Negada","Aprovada")</f>
        <v>Aprovada</v>
      </c>
      <c r="U320" s="43">
        <v>65000</v>
      </c>
    </row>
    <row r="321" spans="1:21">
      <c r="A321" s="47" t="s">
        <v>1175</v>
      </c>
      <c r="B321" s="37" t="str">
        <f>IF(Base_Original!A321="","vazio",IF(Base_Original!A321="ATIVO","Ativo",IF(Base_Original!A321="INATIVO","Inativo",Base_Original!A321)))</f>
        <v>Ativo</v>
      </c>
      <c r="C321" s="37" t="str">
        <f>PROPER(Base_Original!B321)</f>
        <v>Thoros Greyjoy</v>
      </c>
      <c r="D321" s="38" t="s">
        <v>685</v>
      </c>
      <c r="E321" s="39" t="str">
        <f>IF($D321="","Vazio",IF(LEN(SUBSTITUTE(SUBSTITUTE($D321&amp;"",".",""),"-",""))&lt;&gt;11,"Inválido","OK"))</f>
        <v>OK</v>
      </c>
      <c r="F321" s="39" t="str">
        <f>IF($D321="","Vazio",IF(COUNTIF($D$2:$D$369,$D321)&gt;1,"Duplicado","Único"))</f>
        <v>Único</v>
      </c>
      <c r="G321" s="40" t="str">
        <f>IF(TRIM(Base_Original!D321)="","",SUBSTITUTE(TRIM(Base_Original!D321),"anos",""))</f>
        <v>27</v>
      </c>
      <c r="H321" s="50">
        <f>IF($J321="","Vazio",DATEDIF($J321,DATE(2026,9,10),"Y"))</f>
        <v>27</v>
      </c>
      <c r="I32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21" s="33">
        <v>36316</v>
      </c>
      <c r="K321" s="42" t="s">
        <v>150</v>
      </c>
      <c r="L321" s="42" t="str">
        <f>PROPER(Base_Original!G322)</f>
        <v>Gargalo</v>
      </c>
      <c r="M321" s="43">
        <v>10700</v>
      </c>
      <c r="N321" s="43">
        <f>IF(ISNUMBER(Base_Original!I321),Base_Original!I321,IF(RIGHT(Base_Original!I321,7)=" moedas",VALUE(LEFT(Base_Original!I321,LEN(Base_Original!I321)-7)),Base_Original!I321))</f>
        <v>60000</v>
      </c>
      <c r="O321" s="44" t="str">
        <f>IF(AND($N321&gt;50000,$Q321="Sim"),"Negada","Aprovada")</f>
        <v>Aprovada</v>
      </c>
      <c r="P321" s="45">
        <f>IF(AND($T321="Negada",$O321="Negada"),0,IF($B321="Ativo",$U321*8%,"0"))</f>
        <v>4000</v>
      </c>
      <c r="Q321" s="46" t="str">
        <f>IF(OR(Base_Original!J321="Sim",Base_Original!J321="sim",Base_Original!J321="SIM"),"Sim",IF(OR(Base_Original!J321="Não",Base_Original!J321="não",Base_Original!J321="NÃO",Base_Original!J321="Nao"),"Não",IF(Base_Original!J321="","vazio",Base_Original!J321)))</f>
        <v>Não</v>
      </c>
      <c r="R321" s="46">
        <f>IF(ISNUMBER(Base_Original!K321),Base_Original!K321,IF(RIGHT(Base_Original!K321,9)=" batalhas",VALUE(LEFT(Base_Original!K321,LEN(Base_Original!K321)-9)),Base_Original!K321))</f>
        <v>44</v>
      </c>
      <c r="S321" s="42" t="str">
        <f>IF($R321="vazio","vazio",IF($R321&lt;=10,"Baixo",IF($R321&lt;=25,"Médio","Alto")))</f>
        <v>Alto</v>
      </c>
      <c r="T321" s="42" t="str">
        <f>IF(AND($S321="Alto",$Q321="Sim"),"Negada","Aprovada")</f>
        <v>Aprovada</v>
      </c>
      <c r="U321" s="43">
        <v>50000</v>
      </c>
    </row>
    <row r="322" spans="1:21">
      <c r="A322" s="47" t="s">
        <v>1176</v>
      </c>
      <c r="B322" s="37" t="str">
        <f>IF(Base_Original!A322="","vazio",IF(Base_Original!A322="ATIVO","Ativo",IF(Base_Original!A322="INATIVO","Inativo",Base_Original!A322)))</f>
        <v>Ativo</v>
      </c>
      <c r="C322" s="37" t="str">
        <f>PROPER(Base_Original!B322)</f>
        <v>Thoros Greyjoy</v>
      </c>
      <c r="D322" s="38" t="s">
        <v>683</v>
      </c>
      <c r="E322" s="39" t="str">
        <f>IF($D322="","Vazio",IF(LEN(SUBSTITUTE(SUBSTITUTE($D322&amp;"",".",""),"-",""))&lt;&gt;11,"Inválido","OK"))</f>
        <v>OK</v>
      </c>
      <c r="F322" s="39" t="str">
        <f>IF($D322="","Vazio",IF(COUNTIF($D$2:$D$369,$D322)&gt;1,"Duplicado","Único"))</f>
        <v>Único</v>
      </c>
      <c r="G322" s="40" t="str">
        <f>IF(TRIM(Base_Original!D322)="","",SUBSTITUTE(TRIM(Base_Original!D322),"anos",""))</f>
        <v>67</v>
      </c>
      <c r="H322" s="50">
        <f>IF($J322="","Vazio",DATEDIF($J322,DATE(2026,9,10),"Y"))</f>
        <v>67</v>
      </c>
      <c r="I32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22" s="33">
        <v>21573</v>
      </c>
      <c r="K322" s="42" t="s">
        <v>101</v>
      </c>
      <c r="L322" s="42" t="str">
        <f>PROPER(Base_Original!G321)</f>
        <v>Campina</v>
      </c>
      <c r="M322" s="43">
        <v>6400</v>
      </c>
      <c r="N322" s="43">
        <f>IF(ISNUMBER(Base_Original!I322),Base_Original!I322,IF(RIGHT(Base_Original!I322,7)=" moedas",VALUE(LEFT(Base_Original!I322,LEN(Base_Original!I322)-7)),Base_Original!I322))</f>
        <v>1000</v>
      </c>
      <c r="O322" s="44" t="str">
        <f>IF(AND($N322&gt;50000,$Q322="Sim"),"Negada","Aprovada")</f>
        <v>Aprovada</v>
      </c>
      <c r="P322" s="45">
        <f>IF(AND($T322="Negada",$O322="Negada"),0,IF($B322="Ativo",$U322*8%,"0"))</f>
        <v>3840</v>
      </c>
      <c r="Q322" s="46" t="str">
        <f>IF(OR(Base_Original!J322="Sim",Base_Original!J322="sim",Base_Original!J322="SIM"),"Sim",IF(OR(Base_Original!J322="Não",Base_Original!J322="não",Base_Original!J322="NÃO",Base_Original!J322="Nao"),"Não",IF(Base_Original!J322="","vazio",Base_Original!J322)))</f>
        <v>Não</v>
      </c>
      <c r="R322" s="46">
        <f>IF(ISNUMBER(Base_Original!K322),Base_Original!K322,IF(RIGHT(Base_Original!K322,9)=" batalhas",VALUE(LEFT(Base_Original!K322,LEN(Base_Original!K322)-9)),Base_Original!K322))</f>
        <v>27</v>
      </c>
      <c r="S322" s="42" t="str">
        <f>IF($R322="vazio","vazio",IF($R322&lt;=10,"Baixo",IF($R322&lt;=25,"Médio","Alto")))</f>
        <v>Alto</v>
      </c>
      <c r="T322" s="42" t="str">
        <f>IF(AND($S322="Alto",$Q322="Sim"),"Negada","Aprovada")</f>
        <v>Aprovada</v>
      </c>
      <c r="U322" s="43">
        <v>48000</v>
      </c>
    </row>
    <row r="323" spans="1:21">
      <c r="A323" s="47" t="s">
        <v>1177</v>
      </c>
      <c r="B323" s="37" t="str">
        <f>IF(Base_Original!A323="","vazio",IF(Base_Original!A323="ATIVO","Ativo",IF(Base_Original!A323="INATIVO","Inativo",Base_Original!A323)))</f>
        <v>Inativo</v>
      </c>
      <c r="C323" s="37" t="str">
        <f>PROPER(Base_Original!B323)</f>
        <v>Thoros Hornwood</v>
      </c>
      <c r="D323" s="38" t="s">
        <v>687</v>
      </c>
      <c r="E323" s="39" t="str">
        <f>IF($D323="","Vazio",IF(LEN(SUBSTITUTE(SUBSTITUTE($D323&amp;"",".",""),"-",""))&lt;&gt;11,"Inválido","OK"))</f>
        <v>OK</v>
      </c>
      <c r="F323" s="39" t="str">
        <f>IF($D323="","Vazio",IF(COUNTIF($D$2:$D$369,$D323)&gt;1,"Duplicado","Único"))</f>
        <v>Único</v>
      </c>
      <c r="G323" s="40" t="str">
        <f>IF(TRIM(Base_Original!D323)="","",SUBSTITUTE(TRIM(Base_Original!D323),"anos",""))</f>
        <v>65</v>
      </c>
      <c r="H323" s="50">
        <f>IF($J323="","Vazio",DATEDIF($J323,DATE(2026,9,10),"Y"))</f>
        <v>65</v>
      </c>
      <c r="I32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23" s="33">
        <v>22205</v>
      </c>
      <c r="K323" s="42" t="s">
        <v>40</v>
      </c>
      <c r="L323" s="42" t="str">
        <f>PROPER(Base_Original!G323)</f>
        <v>Norte</v>
      </c>
      <c r="M323" s="43">
        <v>19800</v>
      </c>
      <c r="N323" s="43">
        <f>IF(ISNUMBER(Base_Original!I323),Base_Original!I323,IF(RIGHT(Base_Original!I323,7)=" moedas",VALUE(LEFT(Base_Original!I323,LEN(Base_Original!I323)-7)),Base_Original!I323))</f>
        <v>78500</v>
      </c>
      <c r="O323" s="44" t="str">
        <f>IF(AND($N323&gt;50000,$Q323="Sim"),"Negada","Aprovada")</f>
        <v>Aprovada</v>
      </c>
      <c r="P323" s="45" t="str">
        <f>IF(AND($T323="Negada",$O323="Negada"),0,IF($B323="Ativo",$U323*8%,"0"))</f>
        <v>0</v>
      </c>
      <c r="Q323" s="46" t="str">
        <f>IF(OR(Base_Original!J323="Sim",Base_Original!J323="sim",Base_Original!J323="SIM"),"Sim",IF(OR(Base_Original!J323="Não",Base_Original!J323="não",Base_Original!J323="NÃO",Base_Original!J323="Nao"),"Não",IF(Base_Original!J323="","vazio",Base_Original!J323)))</f>
        <v>Não</v>
      </c>
      <c r="R323" s="46">
        <f>IF(ISNUMBER(Base_Original!K323),Base_Original!K323,IF(RIGHT(Base_Original!K323,9)=" batalhas",VALUE(LEFT(Base_Original!K323,LEN(Base_Original!K323)-9)),Base_Original!K323))</f>
        <v>34</v>
      </c>
      <c r="S323" s="42" t="str">
        <f>IF($R323="vazio","vazio",IF($R323&lt;=10,"Baixo",IF($R323&lt;=25,"Médio","Alto")))</f>
        <v>Alto</v>
      </c>
      <c r="T323" s="42" t="str">
        <f>IF(AND($S323="Alto",$Q323="Sim"),"Negada","Aprovada")</f>
        <v>Aprovada</v>
      </c>
      <c r="U323" s="43">
        <v>23000</v>
      </c>
    </row>
    <row r="324" spans="1:21">
      <c r="A324" s="47" t="s">
        <v>1178</v>
      </c>
      <c r="B324" s="37" t="str">
        <f>IF(Base_Original!A324="","vazio",IF(Base_Original!A324="ATIVO","Ativo",IF(Base_Original!A324="INATIVO","Inativo",Base_Original!A324)))</f>
        <v>Ativo</v>
      </c>
      <c r="C324" s="37" t="str">
        <f>PROPER(Base_Original!B324)</f>
        <v>Thoros Karstark</v>
      </c>
      <c r="D324" s="38" t="s">
        <v>689</v>
      </c>
      <c r="E324" s="39" t="str">
        <f>IF($D324="","Vazio",IF(LEN(SUBSTITUTE(SUBSTITUTE($D324&amp;"",".",""),"-",""))&lt;&gt;11,"Inválido","OK"))</f>
        <v>OK</v>
      </c>
      <c r="F324" s="39" t="str">
        <f>IF($D324="","Vazio",IF(COUNTIF($D$2:$D$369,$D324)&gt;1,"Duplicado","Único"))</f>
        <v>Único</v>
      </c>
      <c r="G324" s="40" t="str">
        <f>IF(TRIM(Base_Original!D324)="","",SUBSTITUTE(TRIM(Base_Original!D324),"anos",""))</f>
        <v>53</v>
      </c>
      <c r="H324" s="50">
        <f>IF($J324="","Vazio",DATEDIF($J324,DATE(2026,9,10),"Y"))</f>
        <v>53</v>
      </c>
      <c r="I32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24" s="33">
        <v>26631</v>
      </c>
      <c r="K324" s="42" t="s">
        <v>150</v>
      </c>
      <c r="L324" s="42" t="str">
        <f>PROPER(Base_Original!G324)</f>
        <v>Gargalo</v>
      </c>
      <c r="M324" s="43">
        <v>22700</v>
      </c>
      <c r="N324" s="43">
        <f>IF(ISNUMBER(Base_Original!I324),Base_Original!I324,IF(RIGHT(Base_Original!I324,7)=" moedas",VALUE(LEFT(Base_Original!I324,LEN(Base_Original!I324)-7)),Base_Original!I324))</f>
        <v>42500</v>
      </c>
      <c r="O324" s="44" t="str">
        <f>IF(AND($N324&gt;50000,$Q324="Sim"),"Negada","Aprovada")</f>
        <v>Aprovada</v>
      </c>
      <c r="P324" s="45">
        <f>IF(AND($T324="Negada",$O324="Negada"),0,IF($B324="Ativo",$U324*8%,"0"))</f>
        <v>6880</v>
      </c>
      <c r="Q324" s="46" t="str">
        <f>IF(OR(Base_Original!J324="Sim",Base_Original!J324="sim",Base_Original!J324="SIM"),"Sim",IF(OR(Base_Original!J324="Não",Base_Original!J324="não",Base_Original!J324="NÃO",Base_Original!J324="Nao"),"Não",IF(Base_Original!J324="","vazio",Base_Original!J324)))</f>
        <v>Sim</v>
      </c>
      <c r="R324" s="46">
        <f>IF(ISNUMBER(Base_Original!K324),Base_Original!K324,IF(RIGHT(Base_Original!K324,9)=" batalhas",VALUE(LEFT(Base_Original!K324,LEN(Base_Original!K324)-9)),Base_Original!K324))</f>
        <v>25</v>
      </c>
      <c r="S324" s="42" t="str">
        <f>IF($R324="vazio","vazio",IF($R324&lt;=10,"Baixo",IF($R324&lt;=25,"Médio","Alto")))</f>
        <v>Médio</v>
      </c>
      <c r="T324" s="42" t="str">
        <f>IF(AND($S324="Alto",$Q324="Sim"),"Negada","Aprovada")</f>
        <v>Aprovada</v>
      </c>
      <c r="U324" s="43">
        <v>86000</v>
      </c>
    </row>
    <row r="325" spans="1:21">
      <c r="A325" s="47" t="s">
        <v>1179</v>
      </c>
      <c r="B325" s="37" t="str">
        <f>IF(Base_Original!A325="","vazio",IF(Base_Original!A325="ATIVO","Ativo",IF(Base_Original!A325="INATIVO","Inativo",Base_Original!A325)))</f>
        <v>Ativo</v>
      </c>
      <c r="C325" s="37" t="str">
        <f>PROPER(Base_Original!B325)</f>
        <v>Thoros Payne</v>
      </c>
      <c r="D325" s="38">
        <v>7700</v>
      </c>
      <c r="E325" s="39" t="str">
        <f>IF($D325="","Vazio",IF(LEN(SUBSTITUTE(SUBSTITUTE($D325&amp;"",".",""),"-",""))&lt;&gt;11,"Inválido","OK"))</f>
        <v>Inválido</v>
      </c>
      <c r="F325" s="39" t="str">
        <f>IF($D325="","Vazio",IF(COUNTIF($D$2:$D$369,$D325)&gt;1,"Duplicado","Único"))</f>
        <v>Único</v>
      </c>
      <c r="G325" s="40" t="str">
        <f>IF(TRIM(Base_Original!D325)="","",SUBSTITUTE(TRIM(Base_Original!D325),"anos",""))</f>
        <v/>
      </c>
      <c r="H325" s="50">
        <f>IF($J325="","Vazio",DATEDIF($J325,DATE(2026,9,10),"Y"))</f>
        <v>40</v>
      </c>
      <c r="I32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325" s="33">
        <v>31337</v>
      </c>
      <c r="K325" s="42" t="s">
        <v>160</v>
      </c>
      <c r="L325" s="42" t="str">
        <f>PROPER(Base_Original!G325)</f>
        <v>Terras Fluviais</v>
      </c>
      <c r="M325" s="43">
        <v>14000</v>
      </c>
      <c r="N325" s="43">
        <f>IF(ISNUMBER(Base_Original!I325),Base_Original!I325,IF(RIGHT(Base_Original!I325,7)=" moedas",VALUE(LEFT(Base_Original!I325,LEN(Base_Original!I325)-7)),Base_Original!I325))</f>
        <v>0</v>
      </c>
      <c r="O325" s="44" t="str">
        <f>IF(AND($N325&gt;50000,$Q325="Sim"),"Negada","Aprovada")</f>
        <v>Aprovada</v>
      </c>
      <c r="P325" s="45">
        <f>IF(AND($T325="Negada",$O325="Negada"),0,IF($B325="Ativo",$U325*8%,"0"))</f>
        <v>6560</v>
      </c>
      <c r="Q325" s="46" t="str">
        <f>IF(OR(Base_Original!J325="Sim",Base_Original!J325="sim",Base_Original!J325="SIM"),"Sim",IF(OR(Base_Original!J325="Não",Base_Original!J325="não",Base_Original!J325="NÃO",Base_Original!J325="Nao"),"Não",IF(Base_Original!J325="","vazio",Base_Original!J325)))</f>
        <v>Não</v>
      </c>
      <c r="R325" s="46">
        <f>IF(ISNUMBER(Base_Original!K325),Base_Original!K325,IF(RIGHT(Base_Original!K325,9)=" batalhas",VALUE(LEFT(Base_Original!K325,LEN(Base_Original!K325)-9)),Base_Original!K325))</f>
        <v>24</v>
      </c>
      <c r="S325" s="42" t="str">
        <f>IF($R325="vazio","vazio",IF($R325&lt;=10,"Baixo",IF($R325&lt;=25,"Médio","Alto")))</f>
        <v>Médio</v>
      </c>
      <c r="T325" s="42" t="str">
        <f>IF(AND($S325="Alto",$Q325="Sim"),"Negada","Aprovada")</f>
        <v>Aprovada</v>
      </c>
      <c r="U325" s="43">
        <v>82000</v>
      </c>
    </row>
    <row r="326" spans="1:21">
      <c r="A326" s="47" t="s">
        <v>1180</v>
      </c>
      <c r="B326" s="37" t="str">
        <f>IF(Base_Original!A327="","vazio",IF(Base_Original!A327="ATIVO","Ativo",IF(Base_Original!A327="INATIVO","Inativo",Base_Original!A327)))</f>
        <v>Ativo</v>
      </c>
      <c r="C326" s="37" t="str">
        <f>PROPER(Base_Original!B327)</f>
        <v>Thoros Tarth</v>
      </c>
      <c r="D326" s="38">
        <v>23900</v>
      </c>
      <c r="E326" s="39" t="str">
        <f>IF($D326="","Vazio",IF(LEN(SUBSTITUTE(SUBSTITUTE($D326&amp;"",".",""),"-",""))&lt;&gt;11,"Inválido","OK"))</f>
        <v>Inválido</v>
      </c>
      <c r="F326" s="39" t="str">
        <f>IF($D326="","Vazio",IF(COUNTIF($D$2:$D$369,$D326)&gt;1,"Duplicado","Único"))</f>
        <v>Único</v>
      </c>
      <c r="G326" s="40" t="str">
        <f>IF(TRIM(Base_Original!D326)="","",SUBSTITUTE(TRIM(Base_Original!D326),"anos",""))</f>
        <v>39</v>
      </c>
      <c r="H326" s="50">
        <f>IF($J326="","Vazio",DATEDIF($J326,DATE(2026,9,10),"Y"))</f>
        <v>39</v>
      </c>
      <c r="I32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26" s="33">
        <v>31740</v>
      </c>
      <c r="K326" s="42" t="s">
        <v>44</v>
      </c>
      <c r="L326" s="42" t="str">
        <f>PROPER(Base_Original!G326)</f>
        <v>Ilhas De Ferro</v>
      </c>
      <c r="M326" s="43">
        <v>26500</v>
      </c>
      <c r="N326" s="43">
        <f>IF(ISNUMBER(Base_Original!I327),Base_Original!I327,IF(RIGHT(Base_Original!I327,7)=" moedas",VALUE(LEFT(Base_Original!I327,LEN(Base_Original!I327)-7)),Base_Original!I327))</f>
        <v>29500</v>
      </c>
      <c r="O326" s="44" t="str">
        <f>IF(AND($N326&gt;50000,$Q326="Sim"),"Negada","Aprovada")</f>
        <v>Aprovada</v>
      </c>
      <c r="P326" s="45">
        <f>IF(AND($T326="Negada",$O326="Negada"),0,IF($B326="Ativo",$U326*8%,"0"))</f>
        <v>2880</v>
      </c>
      <c r="Q326" s="46" t="str">
        <f>IF(OR(Base_Original!J327="Sim",Base_Original!J327="sim",Base_Original!J327="SIM"),"Sim",IF(OR(Base_Original!J327="Não",Base_Original!J327="não",Base_Original!J327="NÃO",Base_Original!J327="Nao"),"Não",IF(Base_Original!J327="","vazio",Base_Original!J327)))</f>
        <v>Não</v>
      </c>
      <c r="R326" s="46">
        <f>IF(ISNUMBER(Base_Original!K327),Base_Original!K327,IF(RIGHT(Base_Original!K327,9)=" batalhas",VALUE(LEFT(Base_Original!K327,LEN(Base_Original!K327)-9)),Base_Original!K327))</f>
        <v>5</v>
      </c>
      <c r="S326" s="42" t="str">
        <f>IF($R326="vazio","vazio",IF($R326&lt;=10,"Baixo",IF($R326&lt;=25,"Médio","Alto")))</f>
        <v>Baixo</v>
      </c>
      <c r="T326" s="42" t="str">
        <f>IF(AND($S326="Alto",$Q326="Sim"),"Negada","Aprovada")</f>
        <v>Aprovada</v>
      </c>
      <c r="U326" s="43">
        <v>36000</v>
      </c>
    </row>
    <row r="327" spans="1:21">
      <c r="A327" s="47" t="s">
        <v>1181</v>
      </c>
      <c r="B327" s="37" t="str">
        <f>IF(Base_Original!A326="","vazio",IF(Base_Original!A326="ATIVO","Ativo",IF(Base_Original!A326="INATIVO","Inativo",Base_Original!A326)))</f>
        <v>Ativo</v>
      </c>
      <c r="C327" s="37" t="str">
        <f>PROPER(Base_Original!B326)</f>
        <v>Thoros Tarth</v>
      </c>
      <c r="D327" s="38" t="s">
        <v>692</v>
      </c>
      <c r="E327" s="39" t="str">
        <f>IF($D327="","Vazio",IF(LEN(SUBSTITUTE(SUBSTITUTE($D327&amp;"",".",""),"-",""))&lt;&gt;11,"Inválido","OK"))</f>
        <v>OK</v>
      </c>
      <c r="F327" s="39" t="str">
        <f>IF($D327="","Vazio",IF(COUNTIF($D$2:$D$369,$D327)&gt;1,"Duplicado","Único"))</f>
        <v>Único</v>
      </c>
      <c r="G327" s="40" t="str">
        <f>IF(TRIM(Base_Original!D327)="","",SUBSTITUTE(TRIM(Base_Original!D327),"anos",""))</f>
        <v>41</v>
      </c>
      <c r="H327" s="50">
        <f>IF($J327="","Vazio",DATEDIF($J327,DATE(2026,9,10),"Y"))</f>
        <v>41</v>
      </c>
      <c r="I32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27" s="33">
        <v>31156</v>
      </c>
      <c r="K327" s="42" t="s">
        <v>99</v>
      </c>
      <c r="L327" s="42" t="str">
        <f>PROPER(Base_Original!G327)</f>
        <v>Norte</v>
      </c>
      <c r="M327" s="43">
        <v>13200</v>
      </c>
      <c r="N327" s="43" t="str">
        <f>IF(ISNUMBER(Base_Original!I326),Base_Original!I326,IF(RIGHT(Base_Original!I326,7)=" moedas",VALUE(LEFT(Base_Original!I326,LEN(Base_Original!I326)-7)),Base_Original!I326))</f>
        <v>N/A</v>
      </c>
      <c r="O327" s="44" t="str">
        <f>IF(AND($N327&gt;50000,$Q327="Sim"),"Negada","Aprovada")</f>
        <v>Aprovada</v>
      </c>
      <c r="P327" s="45">
        <f>IF(AND($T327="Negada",$O327="Negada"),0,IF($B327="Ativo",$U327*8%,"0"))</f>
        <v>6000</v>
      </c>
      <c r="Q327" s="46" t="str">
        <f>IF(OR(Base_Original!J326="Sim",Base_Original!J326="sim",Base_Original!J326="SIM"),"Sim",IF(OR(Base_Original!J326="Não",Base_Original!J326="não",Base_Original!J326="NÃO",Base_Original!J326="Nao"),"Não",IF(Base_Original!J326="","vazio",Base_Original!J326)))</f>
        <v>Não</v>
      </c>
      <c r="R327" s="46">
        <f>IF(ISNUMBER(Base_Original!K326),Base_Original!K326,IF(RIGHT(Base_Original!K326,9)=" batalhas",VALUE(LEFT(Base_Original!K326,LEN(Base_Original!K326)-9)),Base_Original!K326))</f>
        <v>38</v>
      </c>
      <c r="S327" s="42" t="str">
        <f>IF($R327="vazio","vazio",IF($R327&lt;=10,"Baixo",IF($R327&lt;=25,"Médio","Alto")))</f>
        <v>Alto</v>
      </c>
      <c r="T327" s="42" t="str">
        <f>IF(AND($S327="Alto",$Q327="Sim"),"Negada","Aprovada")</f>
        <v>Aprovada</v>
      </c>
      <c r="U327" s="43">
        <v>75000</v>
      </c>
    </row>
    <row r="328" spans="1:21">
      <c r="A328" s="47" t="s">
        <v>1182</v>
      </c>
      <c r="B328" s="37" t="str">
        <f>IF(Base_Original!A328="","vazio",IF(Base_Original!A328="ATIVO","Ativo",IF(Base_Original!A328="INATIVO","Inativo",Base_Original!A328)))</f>
        <v>Ativo</v>
      </c>
      <c r="C328" s="37" t="str">
        <f>PROPER(Base_Original!B328)</f>
        <v>Thoros Westerling</v>
      </c>
      <c r="D328" s="38">
        <v>25700</v>
      </c>
      <c r="E328" s="39" t="str">
        <f>IF($D328="","Vazio",IF(LEN(SUBSTITUTE(SUBSTITUTE($D328&amp;"",".",""),"-",""))&lt;&gt;11,"Inválido","OK"))</f>
        <v>Inválido</v>
      </c>
      <c r="F328" s="39" t="str">
        <f>IF($D328="","Vazio",IF(COUNTIF($D$2:$D$369,$D328)&gt;1,"Duplicado","Único"))</f>
        <v>Único</v>
      </c>
      <c r="G328" s="40" t="str">
        <f>IF(TRIM(Base_Original!D328)="","",SUBSTITUTE(TRIM(Base_Original!D328),"anos",""))</f>
        <v>27</v>
      </c>
      <c r="H328" s="50">
        <f>IF($J328="","Vazio",DATEDIF($J328,DATE(2026,9,10),"Y"))</f>
        <v>27</v>
      </c>
      <c r="I32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28" s="33">
        <v>36152</v>
      </c>
      <c r="K328" s="42" t="s">
        <v>20</v>
      </c>
      <c r="L328" s="42" t="str">
        <f>PROPER(Base_Original!G328)</f>
        <v>Campina</v>
      </c>
      <c r="M328" s="43">
        <v>30000</v>
      </c>
      <c r="N328" s="43">
        <f>IF(ISNUMBER(Base_Original!I328),Base_Original!I328,IF(RIGHT(Base_Original!I328,7)=" moedas",VALUE(LEFT(Base_Original!I328,LEN(Base_Original!I328)-7)),Base_Original!I328))</f>
        <v>27000</v>
      </c>
      <c r="O328" s="44" t="str">
        <f>IF(AND($N328&gt;50000,$Q328="Sim"),"Negada","Aprovada")</f>
        <v>Aprovada</v>
      </c>
      <c r="P328" s="45">
        <f>IF(AND($T328="Negada",$O328="Negada"),0,IF($B328="Ativo",$U328*8%,"0"))</f>
        <v>2280</v>
      </c>
      <c r="Q328" s="46" t="str">
        <f>IF(OR(Base_Original!J328="Sim",Base_Original!J328="sim",Base_Original!J328="SIM"),"Sim",IF(OR(Base_Original!J328="Não",Base_Original!J328="não",Base_Original!J328="NÃO",Base_Original!J328="Nao"),"Não",IF(Base_Original!J328="","vazio",Base_Original!J328)))</f>
        <v>Não</v>
      </c>
      <c r="R328" s="46">
        <f>IF(ISNUMBER(Base_Original!K328),Base_Original!K328,IF(RIGHT(Base_Original!K328,9)=" batalhas",VALUE(LEFT(Base_Original!K328,LEN(Base_Original!K328)-9)),Base_Original!K328))</f>
        <v>28</v>
      </c>
      <c r="S328" s="42" t="str">
        <f>IF($R328="vazio","vazio",IF($R328&lt;=10,"Baixo",IF($R328&lt;=25,"Médio","Alto")))</f>
        <v>Alto</v>
      </c>
      <c r="T328" s="42" t="str">
        <f>IF(AND($S328="Alto",$Q328="Sim"),"Negada","Aprovada")</f>
        <v>Aprovada</v>
      </c>
      <c r="U328" s="43">
        <v>28500</v>
      </c>
    </row>
    <row r="329" spans="1:21">
      <c r="A329" s="47" t="s">
        <v>1183</v>
      </c>
      <c r="B329" s="37" t="str">
        <f>IF(Base_Original!A330="","vazio",IF(Base_Original!A330="ATIVO","Ativo",IF(Base_Original!A330="INATIVO","Inativo",Base_Original!A330)))</f>
        <v>Ativo</v>
      </c>
      <c r="C329" s="37" t="str">
        <f>PROPER(Base_Original!B330)</f>
        <v>Thoros Yronwood</v>
      </c>
      <c r="D329" s="38" t="s">
        <v>697</v>
      </c>
      <c r="E329" s="39" t="str">
        <f>IF($D329="","Vazio",IF(LEN(SUBSTITUTE(SUBSTITUTE($D329&amp;"",".",""),"-",""))&lt;&gt;11,"Inválido","OK"))</f>
        <v>OK</v>
      </c>
      <c r="F329" s="39" t="str">
        <f>IF($D329="","Vazio",IF(COUNTIF($D$2:$D$369,$D329)&gt;1,"Duplicado","Único"))</f>
        <v>Único</v>
      </c>
      <c r="G329" s="40" t="str">
        <f>IF(TRIM(Base_Original!D329)="","",SUBSTITUTE(TRIM(Base_Original!D329),"anos",""))</f>
        <v>51</v>
      </c>
      <c r="H329" s="50">
        <f>IF($J329="","Vazio",DATEDIF($J329,DATE(2026,9,10),"Y"))</f>
        <v>51</v>
      </c>
      <c r="I32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29" s="33">
        <v>27421</v>
      </c>
      <c r="K329" s="42" t="s">
        <v>44</v>
      </c>
      <c r="L329" s="42" t="str">
        <f>PROPER(Base_Original!G330)</f>
        <v>Ilhas De Ferro</v>
      </c>
      <c r="M329" s="43">
        <v>20200</v>
      </c>
      <c r="N329" s="43">
        <f>IF(ISNUMBER(Base_Original!I330),Base_Original!I330,IF(RIGHT(Base_Original!I330,7)=" moedas",VALUE(LEFT(Base_Original!I330,LEN(Base_Original!I330)-7)),Base_Original!I330))</f>
        <v>61000</v>
      </c>
      <c r="O329" s="44" t="str">
        <f>IF(AND($N329&gt;50000,$Q329="Sim"),"Negada","Aprovada")</f>
        <v>Aprovada</v>
      </c>
      <c r="P329" s="45">
        <f>IF(AND($T329="Negada",$O329="Negada"),0,IF($B329="Ativo",$U329*8%,"0"))</f>
        <v>520</v>
      </c>
      <c r="Q329" s="46" t="str">
        <f>IF(OR(Base_Original!J330="Sim",Base_Original!J330="sim",Base_Original!J330="SIM"),"Sim",IF(OR(Base_Original!J330="Não",Base_Original!J330="não",Base_Original!J330="NÃO",Base_Original!J330="Nao"),"Não",IF(Base_Original!J330="","vazio",Base_Original!J330)))</f>
        <v>Não</v>
      </c>
      <c r="R329" s="46">
        <f>IF(ISNUMBER(Base_Original!K330),Base_Original!K330,IF(RIGHT(Base_Original!K330,9)=" batalhas",VALUE(LEFT(Base_Original!K330,LEN(Base_Original!K330)-9)),Base_Original!K330))</f>
        <v>10</v>
      </c>
      <c r="S329" s="42" t="str">
        <f>IF($R329="vazio","vazio",IF($R329&lt;=10,"Baixo",IF($R329&lt;=25,"Médio","Alto")))</f>
        <v>Baixo</v>
      </c>
      <c r="T329" s="42" t="str">
        <f>IF(AND($S329="Alto",$Q329="Sim"),"Negada","Aprovada")</f>
        <v>Aprovada</v>
      </c>
      <c r="U329" s="43">
        <v>6500</v>
      </c>
    </row>
    <row r="330" spans="1:21">
      <c r="A330" s="47" t="s">
        <v>1184</v>
      </c>
      <c r="B330" s="37" t="str">
        <f>IF(Base_Original!A329="","vazio",IF(Base_Original!A329="ATIVO","Ativo",IF(Base_Original!A329="INATIVO","Inativo",Base_Original!A329)))</f>
        <v>Ativo</v>
      </c>
      <c r="C330" s="37" t="str">
        <f>PROPER(Base_Original!B329)</f>
        <v>Thoros Yronwood</v>
      </c>
      <c r="D330" s="38" t="s">
        <v>696</v>
      </c>
      <c r="E330" s="39" t="str">
        <f>IF($D330="","Vazio",IF(LEN(SUBSTITUTE(SUBSTITUTE($D330&amp;"",".",""),"-",""))&lt;&gt;11,"Inválido","OK"))</f>
        <v>OK</v>
      </c>
      <c r="F330" s="39" t="str">
        <f>IF($D330="","Vazio",IF(COUNTIF($D$2:$D$369,$D330)&gt;1,"Duplicado","Único"))</f>
        <v>Único</v>
      </c>
      <c r="G330" s="40" t="str">
        <f>IF(TRIM(Base_Original!D330)="","",SUBSTITUTE(TRIM(Base_Original!D330),"anos",""))</f>
        <v/>
      </c>
      <c r="H330" s="50">
        <f>IF($J330="","Vazio",DATEDIF($J330,DATE(2026,9,10),"Y"))</f>
        <v>55</v>
      </c>
      <c r="I33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330" s="33">
        <v>25925</v>
      </c>
      <c r="K330" s="42" t="s">
        <v>34</v>
      </c>
      <c r="L330" s="42" t="str">
        <f>PROPER(Base_Original!G329)</f>
        <v>Dorne</v>
      </c>
      <c r="M330" s="43">
        <v>26000</v>
      </c>
      <c r="N330" s="43">
        <f>IF(ISNUMBER(Base_Original!I329),Base_Original!I329,IF(RIGHT(Base_Original!I329,7)=" moedas",VALUE(LEFT(Base_Original!I329,LEN(Base_Original!I329)-7)),Base_Original!I329))</f>
        <v>47500</v>
      </c>
      <c r="O330" s="44" t="str">
        <f>IF(AND($N330&gt;50000,$Q330="Sim"),"Negada","Aprovada")</f>
        <v>Aprovada</v>
      </c>
      <c r="P330" s="45">
        <f>IF(AND($T330="Negada",$O330="Negada"),0,IF($B330="Ativo",$U330*8%,"0"))</f>
        <v>4840</v>
      </c>
      <c r="Q330" s="46" t="str">
        <f>IF(OR(Base_Original!J329="Sim",Base_Original!J329="sim",Base_Original!J329="SIM"),"Sim",IF(OR(Base_Original!J329="Não",Base_Original!J329="não",Base_Original!J329="NÃO",Base_Original!J329="Nao"),"Não",IF(Base_Original!J329="","vazio",Base_Original!J329)))</f>
        <v>Não</v>
      </c>
      <c r="R330" s="46">
        <f>IF(ISNUMBER(Base_Original!K329),Base_Original!K329,IF(RIGHT(Base_Original!K329,9)=" batalhas",VALUE(LEFT(Base_Original!K329,LEN(Base_Original!K329)-9)),Base_Original!K329))</f>
        <v>45</v>
      </c>
      <c r="S330" s="42" t="str">
        <f>IF($R330="vazio","vazio",IF($R330&lt;=10,"Baixo",IF($R330&lt;=25,"Médio","Alto")))</f>
        <v>Alto</v>
      </c>
      <c r="T330" s="42" t="str">
        <f>IF(AND($S330="Alto",$Q330="Sim"),"Negada","Aprovada")</f>
        <v>Aprovada</v>
      </c>
      <c r="U330" s="43">
        <v>60500</v>
      </c>
    </row>
    <row r="331" spans="1:21">
      <c r="A331" s="47" t="s">
        <v>1185</v>
      </c>
      <c r="B331" s="37" t="str">
        <f>IF(Base_Original!A331="","vazio",IF(Base_Original!A331="ATIVO","Ativo",IF(Base_Original!A331="INATIVO","Inativo",Base_Original!A331)))</f>
        <v>Ativo</v>
      </c>
      <c r="C331" s="37" t="str">
        <f>PROPER(Base_Original!B331)</f>
        <v>Tormund  Cerwyn</v>
      </c>
      <c r="D331" s="38" t="s">
        <v>699</v>
      </c>
      <c r="E331" s="39" t="str">
        <f>IF($D331="","Vazio",IF(LEN(SUBSTITUTE(SUBSTITUTE($D331&amp;"",".",""),"-",""))&lt;&gt;11,"Inválido","OK"))</f>
        <v>OK</v>
      </c>
      <c r="F331" s="39" t="str">
        <f>IF($D331="","Vazio",IF(COUNTIF($D$2:$D$369,$D331)&gt;1,"Duplicado","Único"))</f>
        <v>Único</v>
      </c>
      <c r="G331" s="40" t="str">
        <f>IF(TRIM(Base_Original!D331)="","",SUBSTITUTE(TRIM(Base_Original!D331),"anos",""))</f>
        <v>33</v>
      </c>
      <c r="H331" s="50">
        <f>IF($J331="","Vazio",DATEDIF($J331,DATE(2026,9,10),"Y"))</f>
        <v>33</v>
      </c>
      <c r="I33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31" s="33">
        <v>34147</v>
      </c>
      <c r="K331" s="42" t="s">
        <v>30</v>
      </c>
      <c r="L331" s="42" t="str">
        <f>PROPER(Base_Original!G331)</f>
        <v>Essos</v>
      </c>
      <c r="M331" s="43">
        <v>28700</v>
      </c>
      <c r="N331" s="43">
        <f>IF(ISNUMBER(Base_Original!I331),Base_Original!I331,IF(RIGHT(Base_Original!I331,7)=" moedas",VALUE(LEFT(Base_Original!I331,LEN(Base_Original!I331)-7)),Base_Original!I331))</f>
        <v>12500</v>
      </c>
      <c r="O331" s="44" t="str">
        <f>IF(AND($N331&gt;50000,$Q331="Sim"),"Negada","Aprovada")</f>
        <v>Aprovada</v>
      </c>
      <c r="P331" s="45">
        <f>IF(AND($T331="Negada",$O331="Negada"),0,IF($B331="Ativo",$U331*8%,"0"))</f>
        <v>7960</v>
      </c>
      <c r="Q331" s="46" t="str">
        <f>IF(OR(Base_Original!J331="Sim",Base_Original!J331="sim",Base_Original!J331="SIM"),"Sim",IF(OR(Base_Original!J331="Não",Base_Original!J331="não",Base_Original!J331="NÃO",Base_Original!J331="Nao"),"Não",IF(Base_Original!J331="","vazio",Base_Original!J331)))</f>
        <v>Não</v>
      </c>
      <c r="R331" s="46">
        <f>IF(ISNUMBER(Base_Original!K331),Base_Original!K331,IF(RIGHT(Base_Original!K331,9)=" batalhas",VALUE(LEFT(Base_Original!K331,LEN(Base_Original!K331)-9)),Base_Original!K331))</f>
        <v>41</v>
      </c>
      <c r="S331" s="42" t="str">
        <f>IF($R331="vazio","vazio",IF($R331&lt;=10,"Baixo",IF($R331&lt;=25,"Médio","Alto")))</f>
        <v>Alto</v>
      </c>
      <c r="T331" s="42" t="str">
        <f>IF(AND($S331="Alto",$Q331="Sim"),"Negada","Aprovada")</f>
        <v>Aprovada</v>
      </c>
      <c r="U331" s="43">
        <v>99500</v>
      </c>
    </row>
    <row r="332" spans="1:21">
      <c r="A332" s="47" t="s">
        <v>1186</v>
      </c>
      <c r="B332" s="37" t="str">
        <f>IF(Base_Original!A332="","vazio",IF(Base_Original!A332="ATIVO","Ativo",IF(Base_Original!A332="INATIVO","Inativo",Base_Original!A332)))</f>
        <v>Inativo</v>
      </c>
      <c r="C332" s="37" t="str">
        <f>PROPER(Base_Original!B332)</f>
        <v>Tormund Glover</v>
      </c>
      <c r="D332" s="38" t="s">
        <v>701</v>
      </c>
      <c r="E332" s="39" t="str">
        <f>IF($D332="","Vazio",IF(LEN(SUBSTITUTE(SUBSTITUTE($D332&amp;"",".",""),"-",""))&lt;&gt;11,"Inválido","OK"))</f>
        <v>OK</v>
      </c>
      <c r="F332" s="39" t="str">
        <f>IF($D332="","Vazio",IF(COUNTIF($D$2:$D$369,$D332)&gt;1,"Duplicado","Único"))</f>
        <v>Único</v>
      </c>
      <c r="G332" s="40" t="str">
        <f>IF(TRIM(Base_Original!D332)="","",SUBSTITUTE(TRIM(Base_Original!D332),"anos",""))</f>
        <v>63</v>
      </c>
      <c r="H332" s="50">
        <f>IF($J332="","Vazio",DATEDIF($J332,DATE(2026,9,10),"Y"))</f>
        <v>63</v>
      </c>
      <c r="I33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32" s="33">
        <v>22994</v>
      </c>
      <c r="K332" s="42" t="s">
        <v>44</v>
      </c>
      <c r="L332" s="42" t="str">
        <f>PROPER(Base_Original!G332)</f>
        <v>Ilhas De Ferro</v>
      </c>
      <c r="M332" s="43">
        <v>20000</v>
      </c>
      <c r="N332" s="43">
        <f>IF(ISNUMBER(Base_Original!I332),Base_Original!I332,IF(RIGHT(Base_Original!I332,7)=" moedas",VALUE(LEFT(Base_Original!I332,LEN(Base_Original!I332)-7)),Base_Original!I332))</f>
        <v>29500</v>
      </c>
      <c r="O332" s="44" t="str">
        <f>IF(AND($N332&gt;50000,$Q332="Sim"),"Negada","Aprovada")</f>
        <v>Aprovada</v>
      </c>
      <c r="P332" s="45" t="str">
        <f>IF(AND($T332="Negada",$O332="Negada"),0,IF($B332="Ativo",$U332*8%,"0"))</f>
        <v>0</v>
      </c>
      <c r="Q332" s="46" t="str">
        <f>IF(OR(Base_Original!J332="Sim",Base_Original!J332="sim",Base_Original!J332="SIM"),"Sim",IF(OR(Base_Original!J332="Não",Base_Original!J332="não",Base_Original!J332="NÃO",Base_Original!J332="Nao"),"Não",IF(Base_Original!J332="","vazio",Base_Original!J332)))</f>
        <v>Não</v>
      </c>
      <c r="R332" s="46">
        <f>IF(ISNUMBER(Base_Original!K332),Base_Original!K332,IF(RIGHT(Base_Original!K332,9)=" batalhas",VALUE(LEFT(Base_Original!K332,LEN(Base_Original!K332)-9)),Base_Original!K332))</f>
        <v>42</v>
      </c>
      <c r="S332" s="42" t="str">
        <f>IF($R332="vazio","vazio",IF($R332&lt;=10,"Baixo",IF($R332&lt;=25,"Médio","Alto")))</f>
        <v>Alto</v>
      </c>
      <c r="T332" s="42" t="str">
        <f>IF(AND($S332="Alto",$Q332="Sim"),"Negada","Aprovada")</f>
        <v>Aprovada</v>
      </c>
      <c r="U332" s="43">
        <v>5000</v>
      </c>
    </row>
    <row r="333" spans="1:21">
      <c r="A333" s="47" t="s">
        <v>1187</v>
      </c>
      <c r="B333" s="37" t="str">
        <f>IF(Base_Original!A334="","vazio",IF(Base_Original!A334="ATIVO","Ativo",IF(Base_Original!A334="INATIVO","Inativo",Base_Original!A334)))</f>
        <v>Inativo</v>
      </c>
      <c r="C333" s="37" t="str">
        <f>PROPER(Base_Original!B334)</f>
        <v>Tormund Greyjoy</v>
      </c>
      <c r="D333" s="38" t="s">
        <v>703</v>
      </c>
      <c r="E333" s="39" t="str">
        <f>IF($D333="","Vazio",IF(LEN(SUBSTITUTE(SUBSTITUTE($D333&amp;"",".",""),"-",""))&lt;&gt;11,"Inválido","OK"))</f>
        <v>OK</v>
      </c>
      <c r="F333" s="39" t="str">
        <f>IF($D333="","Vazio",IF(COUNTIF($D$2:$D$369,$D333)&gt;1,"Duplicado","Único"))</f>
        <v>Duplicado</v>
      </c>
      <c r="G333" s="40" t="str">
        <f>IF(TRIM(Base_Original!D333)="","",SUBSTITUTE(TRIM(Base_Original!D333),"anos",""))</f>
        <v>58</v>
      </c>
      <c r="H333" s="50">
        <f>IF($J333="","Vazio",DATEDIF($J333,DATE(2026,9,10),"Y"))</f>
        <v>58</v>
      </c>
      <c r="I33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33" s="33">
        <v>24872</v>
      </c>
      <c r="K333" s="42" t="s">
        <v>44</v>
      </c>
      <c r="L333" s="42" t="str">
        <f>PROPER(Base_Original!G334)</f>
        <v>Ilhas De Ferro</v>
      </c>
      <c r="M333" s="43">
        <v>12500</v>
      </c>
      <c r="N333" s="43">
        <f>IF(ISNUMBER(Base_Original!I334),Base_Original!I334,IF(RIGHT(Base_Original!I334,7)=" moedas",VALUE(LEFT(Base_Original!I334,LEN(Base_Original!I334)-7)),Base_Original!I334))</f>
        <v>44500</v>
      </c>
      <c r="O333" s="44" t="str">
        <f>IF(AND($N333&gt;50000,$Q333="Sim"),"Negada","Aprovada")</f>
        <v>Aprovada</v>
      </c>
      <c r="P333" s="45" t="str">
        <f>IF(AND($T333="Negada",$O333="Negada"),0,IF($B333="Ativo",$U333*8%,"0"))</f>
        <v>0</v>
      </c>
      <c r="Q333" s="46" t="str">
        <f>IF(OR(Base_Original!J334="Sim",Base_Original!J334="sim",Base_Original!J334="SIM"),"Sim",IF(OR(Base_Original!J334="Não",Base_Original!J334="não",Base_Original!J334="NÃO",Base_Original!J334="Nao"),"Não",IF(Base_Original!J334="","vazio",Base_Original!J334)))</f>
        <v>Não</v>
      </c>
      <c r="R333" s="46">
        <f>IF(ISNUMBER(Base_Original!K334),Base_Original!K334,IF(RIGHT(Base_Original!K334,9)=" batalhas",VALUE(LEFT(Base_Original!K334,LEN(Base_Original!K334)-9)),Base_Original!K334))</f>
        <v>13</v>
      </c>
      <c r="S333" s="42" t="str">
        <f>IF($R333="vazio","vazio",IF($R333&lt;=10,"Baixo",IF($R333&lt;=25,"Médio","Alto")))</f>
        <v>Médio</v>
      </c>
      <c r="T333" s="42" t="str">
        <f>IF(AND($S333="Alto",$Q333="Sim"),"Negada","Aprovada")</f>
        <v>Aprovada</v>
      </c>
      <c r="U333" s="43">
        <v>98500</v>
      </c>
    </row>
    <row r="334" spans="1:21">
      <c r="A334" s="47" t="s">
        <v>1188</v>
      </c>
      <c r="B334" s="37" t="str">
        <f>IF(Base_Original!A333="","vazio",IF(Base_Original!A333="ATIVO","Ativo",IF(Base_Original!A333="INATIVO","Inativo",Base_Original!A333)))</f>
        <v>Inativo</v>
      </c>
      <c r="C334" s="37" t="str">
        <f>PROPER(Base_Original!B333)</f>
        <v>Tormund Greyjoy</v>
      </c>
      <c r="D334" s="38" t="s">
        <v>703</v>
      </c>
      <c r="E334" s="39" t="str">
        <f>IF($D334="","Vazio",IF(LEN(SUBSTITUTE(SUBSTITUTE($D334&amp;"",".",""),"-",""))&lt;&gt;11,"Inválido","OK"))</f>
        <v>OK</v>
      </c>
      <c r="F334" s="39" t="str">
        <f>IF($D334="","Vazio",IF(COUNTIF($D$2:$D$369,$D334)&gt;1,"Duplicado","Único"))</f>
        <v>Duplicado</v>
      </c>
      <c r="G334" s="40" t="str">
        <f>IF(TRIM(Base_Original!D334)="","",SUBSTITUTE(TRIM(Base_Original!D334),"anos",""))</f>
        <v>58</v>
      </c>
      <c r="H334" s="50">
        <f>IF($J334="","Vazio",DATEDIF($J334,DATE(2026,9,10),"Y"))</f>
        <v>58</v>
      </c>
      <c r="I33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34" s="33">
        <v>24872</v>
      </c>
      <c r="K334" s="42" t="s">
        <v>44</v>
      </c>
      <c r="L334" s="42" t="str">
        <f>PROPER(Base_Original!G333)</f>
        <v>Ilhas De Ferro</v>
      </c>
      <c r="M334" s="43">
        <v>12500</v>
      </c>
      <c r="N334" s="43">
        <f>IF(ISNUMBER(Base_Original!I333),Base_Original!I333,IF(RIGHT(Base_Original!I333,7)=" moedas",VALUE(LEFT(Base_Original!I333,LEN(Base_Original!I333)-7)),Base_Original!I333))</f>
        <v>44500</v>
      </c>
      <c r="O334" s="44" t="str">
        <f>IF(AND($N334&gt;50000,$Q334="Sim"),"Negada","Aprovada")</f>
        <v>Aprovada</v>
      </c>
      <c r="P334" s="45" t="str">
        <f>IF(AND($T334="Negada",$O334="Negada"),0,IF($B334="Ativo",$U334*8%,"0"))</f>
        <v>0</v>
      </c>
      <c r="Q334" s="46" t="str">
        <f>IF(OR(Base_Original!J333="Sim",Base_Original!J333="sim",Base_Original!J333="SIM"),"Sim",IF(OR(Base_Original!J333="Não",Base_Original!J333="não",Base_Original!J333="NÃO",Base_Original!J333="Nao"),"Não",IF(Base_Original!J333="","vazio",Base_Original!J333)))</f>
        <v>Não</v>
      </c>
      <c r="R334" s="46">
        <f>IF(ISNUMBER(Base_Original!K333),Base_Original!K333,IF(RIGHT(Base_Original!K333,9)=" batalhas",VALUE(LEFT(Base_Original!K333,LEN(Base_Original!K333)-9)),Base_Original!K333))</f>
        <v>13</v>
      </c>
      <c r="S334" s="42" t="str">
        <f>IF($R334="vazio","vazio",IF($R334&lt;=10,"Baixo",IF($R334&lt;=25,"Médio","Alto")))</f>
        <v>Médio</v>
      </c>
      <c r="T334" s="42" t="str">
        <f>IF(AND($S334="Alto",$Q334="Sim"),"Negada","Aprovada")</f>
        <v>Aprovada</v>
      </c>
      <c r="U334" s="43">
        <v>16000</v>
      </c>
    </row>
    <row r="335" spans="1:21">
      <c r="A335" s="47" t="s">
        <v>1189</v>
      </c>
      <c r="B335" s="37" t="str">
        <f>IF(Base_Original!A335="","vazio",IF(Base_Original!A335="ATIVO","Ativo",IF(Base_Original!A335="INATIVO","Inativo",Base_Original!A335)))</f>
        <v>Ativo</v>
      </c>
      <c r="C335" s="37" t="str">
        <f>PROPER(Base_Original!B335)</f>
        <v>Tormund Karstark</v>
      </c>
      <c r="D335" s="38" t="s">
        <v>705</v>
      </c>
      <c r="E335" s="39" t="str">
        <f>IF($D335="","Vazio",IF(LEN(SUBSTITUTE(SUBSTITUTE($D335&amp;"",".",""),"-",""))&lt;&gt;11,"Inválido","OK"))</f>
        <v>OK</v>
      </c>
      <c r="F335" s="39" t="str">
        <f>IF($D335="","Vazio",IF(COUNTIF($D$2:$D$369,$D335)&gt;1,"Duplicado","Único"))</f>
        <v>Único</v>
      </c>
      <c r="G335" s="40" t="str">
        <f>IF(TRIM(Base_Original!D335)="","",SUBSTITUTE(TRIM(Base_Original!D335),"anos",""))</f>
        <v>42</v>
      </c>
      <c r="H335" s="50">
        <f>IF($J335="","Vazio",DATEDIF($J335,DATE(2026,9,10),"Y"))</f>
        <v>42</v>
      </c>
      <c r="I33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35" s="33">
        <v>30662</v>
      </c>
      <c r="K335" s="42" t="s">
        <v>40</v>
      </c>
      <c r="L335" s="42" t="str">
        <f>PROPER(Base_Original!G335)</f>
        <v>Norte</v>
      </c>
      <c r="M335" s="43">
        <v>20400</v>
      </c>
      <c r="N335" s="43">
        <f>IF(ISNUMBER(Base_Original!I335),Base_Original!I335,IF(RIGHT(Base_Original!I335,7)=" moedas",VALUE(LEFT(Base_Original!I335,LEN(Base_Original!I335)-7)),Base_Original!I335))</f>
        <v>0</v>
      </c>
      <c r="O335" s="44" t="str">
        <f>IF(AND($N335&gt;50000,$Q335="Sim"),"Negada","Aprovada")</f>
        <v>Aprovada</v>
      </c>
      <c r="P335" s="45">
        <f>IF(AND($T335="Negada",$O335="Negada"),0,IF($B335="Ativo",$U335*8%,"0"))</f>
        <v>6480</v>
      </c>
      <c r="Q335" s="46" t="str">
        <f>IF(OR(Base_Original!J335="Sim",Base_Original!J335="sim",Base_Original!J335="SIM"),"Sim",IF(OR(Base_Original!J335="Não",Base_Original!J335="não",Base_Original!J335="NÃO",Base_Original!J335="Nao"),"Não",IF(Base_Original!J335="","vazio",Base_Original!J335)))</f>
        <v>Não</v>
      </c>
      <c r="R335" s="46">
        <f>IF(ISNUMBER(Base_Original!K335),Base_Original!K335,IF(RIGHT(Base_Original!K335,9)=" batalhas",VALUE(LEFT(Base_Original!K335,LEN(Base_Original!K335)-9)),Base_Original!K335))</f>
        <v>0</v>
      </c>
      <c r="S335" s="42" t="str">
        <f>IF($R335="vazio","vazio",IF($R335&lt;=10,"Baixo",IF($R335&lt;=25,"Médio","Alto")))</f>
        <v>Baixo</v>
      </c>
      <c r="T335" s="42" t="str">
        <f>IF(AND($S335="Alto",$Q335="Sim"),"Negada","Aprovada")</f>
        <v>Aprovada</v>
      </c>
      <c r="U335" s="43">
        <v>81000</v>
      </c>
    </row>
    <row r="336" spans="1:21">
      <c r="A336" s="47" t="s">
        <v>1190</v>
      </c>
      <c r="B336" s="37" t="str">
        <f>IF(Base_Original!A336="","vazio",IF(Base_Original!A336="ATIVO","Ativo",IF(Base_Original!A336="INATIVO","Inativo",Base_Original!A336)))</f>
        <v>Ativo</v>
      </c>
      <c r="C336" s="37" t="str">
        <f>PROPER(Base_Original!B336)</f>
        <v>Tormund Royce</v>
      </c>
      <c r="D336" s="38" t="s">
        <v>707</v>
      </c>
      <c r="E336" s="39" t="str">
        <f>IF($D336="","Vazio",IF(LEN(SUBSTITUTE(SUBSTITUTE($D336&amp;"",".",""),"-",""))&lt;&gt;11,"Inválido","OK"))</f>
        <v>OK</v>
      </c>
      <c r="F336" s="39" t="str">
        <f>IF($D336="","Vazio",IF(COUNTIF($D$2:$D$369,$D336)&gt;1,"Duplicado","Único"))</f>
        <v>Único</v>
      </c>
      <c r="G336" s="40" t="str">
        <f>IF(TRIM(Base_Original!D336)="","",SUBSTITUTE(TRIM(Base_Original!D336),"anos",""))</f>
        <v>55</v>
      </c>
      <c r="H336" s="50">
        <f>IF($J336="","Vazio",DATEDIF($J336,DATE(2026,9,10),"Y"))</f>
        <v>55</v>
      </c>
      <c r="I33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36" s="33">
        <v>25880</v>
      </c>
      <c r="K336" s="42" t="s">
        <v>180</v>
      </c>
      <c r="L336" s="42" t="str">
        <f>PROPER(Base_Original!G336)</f>
        <v>Terras Da Tempestade</v>
      </c>
      <c r="M336" s="43">
        <v>27500</v>
      </c>
      <c r="N336" s="43">
        <f>IF(ISNUMBER(Base_Original!I336),Base_Original!I336,IF(RIGHT(Base_Original!I336,7)=" moedas",VALUE(LEFT(Base_Original!I336,LEN(Base_Original!I336)-7)),Base_Original!I336))</f>
        <v>14000</v>
      </c>
      <c r="O336" s="44" t="str">
        <f>IF(AND($N336&gt;50000,$Q336="Sim"),"Negada","Aprovada")</f>
        <v>Aprovada</v>
      </c>
      <c r="P336" s="45">
        <f>IF(AND($T336="Negada",$O336="Negada"),0,IF($B336="Ativo",$U336*8%,"0"))</f>
        <v>920</v>
      </c>
      <c r="Q336" s="46" t="str">
        <f>IF(OR(Base_Original!J336="Sim",Base_Original!J336="sim",Base_Original!J336="SIM"),"Sim",IF(OR(Base_Original!J336="Não",Base_Original!J336="não",Base_Original!J336="NÃO",Base_Original!J336="Nao"),"Não",IF(Base_Original!J336="","vazio",Base_Original!J336)))</f>
        <v>Não</v>
      </c>
      <c r="R336" s="46">
        <f>IF(ISNUMBER(Base_Original!K336),Base_Original!K336,IF(RIGHT(Base_Original!K336,9)=" batalhas",VALUE(LEFT(Base_Original!K336,LEN(Base_Original!K336)-9)),Base_Original!K336))</f>
        <v>3</v>
      </c>
      <c r="S336" s="42" t="str">
        <f>IF($R336="vazio","vazio",IF($R336&lt;=10,"Baixo",IF($R336&lt;=25,"Médio","Alto")))</f>
        <v>Baixo</v>
      </c>
      <c r="T336" s="42" t="str">
        <f>IF(AND($S336="Alto",$Q336="Sim"),"Negada","Aprovada")</f>
        <v>Aprovada</v>
      </c>
      <c r="U336" s="43">
        <v>11500</v>
      </c>
    </row>
    <row r="337" spans="1:21">
      <c r="A337" s="47" t="s">
        <v>1191</v>
      </c>
      <c r="B337" s="37" t="str">
        <f>IF(Base_Original!A337="","vazio",IF(Base_Original!A337="ATIVO","Ativo",IF(Base_Original!A337="INATIVO","Inativo",Base_Original!A337)))</f>
        <v>Ativo</v>
      </c>
      <c r="C337" s="37" t="str">
        <f>PROPER(Base_Original!B337)</f>
        <v>Tormund Tyrell</v>
      </c>
      <c r="D337" s="38" t="s">
        <v>709</v>
      </c>
      <c r="E337" s="39" t="str">
        <f>IF($D337="","Vazio",IF(LEN(SUBSTITUTE(SUBSTITUTE($D337&amp;"",".",""),"-",""))&lt;&gt;11,"Inválido","OK"))</f>
        <v>OK</v>
      </c>
      <c r="F337" s="39" t="str">
        <f>IF($D337="","Vazio",IF(COUNTIF($D$2:$D$369,$D337)&gt;1,"Duplicado","Único"))</f>
        <v>Único</v>
      </c>
      <c r="G337" s="40" t="str">
        <f>IF(TRIM(Base_Original!D337)="","",SUBSTITUTE(TRIM(Base_Original!D337),"anos",""))</f>
        <v>34</v>
      </c>
      <c r="H337" s="50">
        <f>IF($J337="","Vazio",DATEDIF($J337,DATE(2026,9,10),"Y"))</f>
        <v>34</v>
      </c>
      <c r="I33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37" s="33">
        <v>33746</v>
      </c>
      <c r="K337" s="42" t="s">
        <v>34</v>
      </c>
      <c r="L337" s="42" t="str">
        <f>PROPER(Base_Original!G337)</f>
        <v>Dorne</v>
      </c>
      <c r="M337" s="43">
        <v>28900</v>
      </c>
      <c r="N337" s="43">
        <f>IF(ISNUMBER(Base_Original!I337),Base_Original!I337,IF(RIGHT(Base_Original!I337,7)=" moedas",VALUE(LEFT(Base_Original!I337,LEN(Base_Original!I337)-7)),Base_Original!I337))</f>
        <v>37000</v>
      </c>
      <c r="O337" s="44" t="str">
        <f>IF(AND($N337&gt;50000,$Q337="Sim"),"Negada","Aprovada")</f>
        <v>Aprovada</v>
      </c>
      <c r="P337" s="45">
        <f>IF(AND($T337="Negada",$O337="Negada"),0,IF($B337="Ativo",$U337*8%,"0"))</f>
        <v>7800</v>
      </c>
      <c r="Q337" s="46" t="str">
        <f>IF(OR(Base_Original!J337="Sim",Base_Original!J337="sim",Base_Original!J337="SIM"),"Sim",IF(OR(Base_Original!J337="Não",Base_Original!J337="não",Base_Original!J337="NÃO",Base_Original!J337="Nao"),"Não",IF(Base_Original!J337="","vazio",Base_Original!J337)))</f>
        <v>Não</v>
      </c>
      <c r="R337" s="46">
        <f>IF(ISNUMBER(Base_Original!K337),Base_Original!K337,IF(RIGHT(Base_Original!K337,9)=" batalhas",VALUE(LEFT(Base_Original!K337,LEN(Base_Original!K337)-9)),Base_Original!K337))</f>
        <v>21</v>
      </c>
      <c r="S337" s="42" t="str">
        <f>IF($R337="vazio","vazio",IF($R337&lt;=10,"Baixo",IF($R337&lt;=25,"Médio","Alto")))</f>
        <v>Médio</v>
      </c>
      <c r="T337" s="42" t="str">
        <f>IF(AND($S337="Alto",$Q337="Sim"),"Negada","Aprovada")</f>
        <v>Aprovada</v>
      </c>
      <c r="U337" s="43">
        <v>97500</v>
      </c>
    </row>
    <row r="338" spans="1:21">
      <c r="A338" s="47" t="s">
        <v>1192</v>
      </c>
      <c r="B338" s="37" t="str">
        <f>IF(Base_Original!A338="","vazio",IF(Base_Original!A338="ATIVO","Ativo",IF(Base_Original!A338="INATIVO","Inativo",Base_Original!A338)))</f>
        <v>Ativo</v>
      </c>
      <c r="C338" s="37" t="str">
        <f>PROPER(Base_Original!B338)</f>
        <v>Tormund Yronwood</v>
      </c>
      <c r="D338" s="38" t="s">
        <v>711</v>
      </c>
      <c r="E338" s="39" t="str">
        <f>IF($D338="","Vazio",IF(LEN(SUBSTITUTE(SUBSTITUTE($D338&amp;"",".",""),"-",""))&lt;&gt;11,"Inválido","OK"))</f>
        <v>OK</v>
      </c>
      <c r="F338" s="39" t="str">
        <f>IF($D338="","Vazio",IF(COUNTIF($D$2:$D$369,$D338)&gt;1,"Duplicado","Único"))</f>
        <v>Único</v>
      </c>
      <c r="G338" s="40" t="str">
        <f>IF(TRIM(Base_Original!D338)="","",SUBSTITUTE(TRIM(Base_Original!D338),"anos",""))</f>
        <v>39</v>
      </c>
      <c r="H338" s="50">
        <f>IF($J338="","Vazio",DATEDIF($J338,DATE(2026,9,10),"Y"))</f>
        <v>39</v>
      </c>
      <c r="I33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38" s="33">
        <v>31972</v>
      </c>
      <c r="K338" s="42" t="s">
        <v>25</v>
      </c>
      <c r="L338" s="42" t="str">
        <f>PROPER(Base_Original!G338)</f>
        <v>Terras Fluviais</v>
      </c>
      <c r="M338" s="43">
        <v>8700</v>
      </c>
      <c r="N338" s="43">
        <f>IF(ISNUMBER(Base_Original!I338),Base_Original!I338,IF(RIGHT(Base_Original!I338,7)=" moedas",VALUE(LEFT(Base_Original!I338,LEN(Base_Original!I338)-7)),Base_Original!I338))</f>
        <v>4500</v>
      </c>
      <c r="O338" s="44" t="str">
        <f>IF(AND($N338&gt;50000,$Q338="Sim"),"Negada","Aprovada")</f>
        <v>Aprovada</v>
      </c>
      <c r="P338" s="45">
        <f>IF(AND($T338="Negada",$O338="Negada"),0,IF($B338="Ativo",$U338*8%,"0"))</f>
        <v>7480</v>
      </c>
      <c r="Q338" s="46" t="str">
        <f>IF(OR(Base_Original!J338="Sim",Base_Original!J338="sim",Base_Original!J338="SIM"),"Sim",IF(OR(Base_Original!J338="Não",Base_Original!J338="não",Base_Original!J338="NÃO",Base_Original!J338="Nao"),"Não",IF(Base_Original!J338="","vazio",Base_Original!J338)))</f>
        <v>Não</v>
      </c>
      <c r="R338" s="46">
        <f>IF(ISNUMBER(Base_Original!K338),Base_Original!K338,IF(RIGHT(Base_Original!K338,9)=" batalhas",VALUE(LEFT(Base_Original!K338,LEN(Base_Original!K338)-9)),Base_Original!K338))</f>
        <v>16</v>
      </c>
      <c r="S338" s="42" t="str">
        <f>IF($R338="vazio","vazio",IF($R338&lt;=10,"Baixo",IF($R338&lt;=25,"Médio","Alto")))</f>
        <v>Médio</v>
      </c>
      <c r="T338" s="42" t="str">
        <f>IF(AND($S338="Alto",$Q338="Sim"),"Negada","Aprovada")</f>
        <v>Aprovada</v>
      </c>
      <c r="U338" s="43">
        <v>93500</v>
      </c>
    </row>
    <row r="339" spans="1:21">
      <c r="A339" s="47" t="s">
        <v>1193</v>
      </c>
      <c r="B339" s="37" t="str">
        <f>IF(Base_Original!A339="","vazio",IF(Base_Original!A339="ATIVO","Ativo",IF(Base_Original!A339="INATIVO","Inativo",Base_Original!A339)))</f>
        <v>Inativo</v>
      </c>
      <c r="C339" s="37" t="str">
        <f>PROPER(Base_Original!B339)</f>
        <v>Tyrion Blackwood</v>
      </c>
      <c r="D339" s="38" t="s">
        <v>713</v>
      </c>
      <c r="E339" s="39" t="str">
        <f>IF($D339="","Vazio",IF(LEN(SUBSTITUTE(SUBSTITUTE($D339&amp;"",".",""),"-",""))&lt;&gt;11,"Inválido","OK"))</f>
        <v>OK</v>
      </c>
      <c r="F339" s="39" t="str">
        <f>IF($D339="","Vazio",IF(COUNTIF($D$2:$D$369,$D339)&gt;1,"Duplicado","Único"))</f>
        <v>Único</v>
      </c>
      <c r="G339" s="40" t="str">
        <f>IF(TRIM(Base_Original!D339)="","",SUBSTITUTE(TRIM(Base_Original!D339),"anos",""))</f>
        <v>67</v>
      </c>
      <c r="H339" s="50">
        <f>IF($J339="","Vazio",DATEDIF($J339,DATE(2026,9,10),"Y"))</f>
        <v>67</v>
      </c>
      <c r="I33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39" s="33">
        <v>21674</v>
      </c>
      <c r="K339" s="42" t="s">
        <v>150</v>
      </c>
      <c r="L339" s="42" t="str">
        <f>PROPER(Base_Original!G339)</f>
        <v>Gargalo</v>
      </c>
      <c r="M339" s="43">
        <v>15200</v>
      </c>
      <c r="N339" s="43">
        <f>IF(ISNUMBER(Base_Original!I339),Base_Original!I339,IF(RIGHT(Base_Original!I339,7)=" moedas",VALUE(LEFT(Base_Original!I339,LEN(Base_Original!I339)-7)),Base_Original!I339))</f>
        <v>67500</v>
      </c>
      <c r="O339" s="44" t="str">
        <f>IF(AND($N339&gt;50000,$Q339="Sim"),"Negada","Aprovada")</f>
        <v>Aprovada</v>
      </c>
      <c r="P339" s="45" t="str">
        <f>IF(AND($T339="Negada",$O339="Negada"),0,IF($B339="Ativo",$U339*8%,"0"))</f>
        <v>0</v>
      </c>
      <c r="Q339" s="46" t="str">
        <f>IF(OR(Base_Original!J339="Sim",Base_Original!J339="sim",Base_Original!J339="SIM"),"Sim",IF(OR(Base_Original!J339="Não",Base_Original!J339="não",Base_Original!J339="NÃO",Base_Original!J339="Nao"),"Não",IF(Base_Original!J339="","vazio",Base_Original!J339)))</f>
        <v>Não</v>
      </c>
      <c r="R339" s="46">
        <f>IF(ISNUMBER(Base_Original!K339),Base_Original!K339,IF(RIGHT(Base_Original!K339,9)=" batalhas",VALUE(LEFT(Base_Original!K339,LEN(Base_Original!K339)-9)),Base_Original!K339))</f>
        <v>12</v>
      </c>
      <c r="S339" s="42" t="str">
        <f>IF($R339="vazio","vazio",IF($R339&lt;=10,"Baixo",IF($R339&lt;=25,"Médio","Alto")))</f>
        <v>Médio</v>
      </c>
      <c r="T339" s="42" t="str">
        <f>IF(AND($S339="Alto",$Q339="Sim"),"Negada","Aprovada")</f>
        <v>Aprovada</v>
      </c>
      <c r="U339" s="43">
        <v>97500</v>
      </c>
    </row>
    <row r="340" spans="1:21">
      <c r="A340" s="47" t="s">
        <v>1194</v>
      </c>
      <c r="B340" s="37" t="str">
        <f>IF(Base_Original!A340="","vazio",IF(Base_Original!A340="ATIVO","Ativo",IF(Base_Original!A340="INATIVO","Inativo",Base_Original!A340)))</f>
        <v>Inativo</v>
      </c>
      <c r="C340" s="37" t="str">
        <f>PROPER(Base_Original!B340)</f>
        <v>Tyrion Clegane</v>
      </c>
      <c r="D340" s="38" t="s">
        <v>715</v>
      </c>
      <c r="E340" s="39" t="str">
        <f>IF($D340="","Vazio",IF(LEN(SUBSTITUTE(SUBSTITUTE($D340&amp;"",".",""),"-",""))&lt;&gt;11,"Inválido","OK"))</f>
        <v>OK</v>
      </c>
      <c r="F340" s="39" t="str">
        <f>IF($D340="","Vazio",IF(COUNTIF($D$2:$D$369,$D340)&gt;1,"Duplicado","Único"))</f>
        <v>Único</v>
      </c>
      <c r="G340" s="40" t="str">
        <f>IF(TRIM(Base_Original!D340)="","",SUBSTITUTE(TRIM(Base_Original!D340),"anos",""))</f>
        <v>51</v>
      </c>
      <c r="H340" s="50">
        <f>IF($J340="","Vazio",DATEDIF($J340,DATE(2026,9,10),"Y"))</f>
        <v>51</v>
      </c>
      <c r="I34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40" s="33">
        <v>27590</v>
      </c>
      <c r="K340" s="42" t="s">
        <v>275</v>
      </c>
      <c r="L340" s="42" t="str">
        <f>PROPER(Base_Original!G340)</f>
        <v>Campina</v>
      </c>
      <c r="M340" s="43">
        <v>11400</v>
      </c>
      <c r="N340" s="43">
        <f>IF(ISNUMBER(Base_Original!I340),Base_Original!I340,IF(RIGHT(Base_Original!I340,7)=" moedas",VALUE(LEFT(Base_Original!I340,LEN(Base_Original!I340)-7)),Base_Original!I340))</f>
        <v>0</v>
      </c>
      <c r="O340" s="44" t="str">
        <f>IF(AND($N340&gt;50000,$Q340="Sim"),"Negada","Aprovada")</f>
        <v>Aprovada</v>
      </c>
      <c r="P340" s="45" t="str">
        <f>IF(AND($T340="Negada",$O340="Negada"),0,IF($B340="Ativo",$U340*8%,"0"))</f>
        <v>0</v>
      </c>
      <c r="Q340" s="46" t="str">
        <f>IF(OR(Base_Original!J340="Sim",Base_Original!J340="sim",Base_Original!J340="SIM"),"Sim",IF(OR(Base_Original!J340="Não",Base_Original!J340="não",Base_Original!J340="NÃO",Base_Original!J340="Nao"),"Não",IF(Base_Original!J340="","vazio",Base_Original!J340)))</f>
        <v>Não</v>
      </c>
      <c r="R340" s="46">
        <f>IF(ISNUMBER(Base_Original!K340),Base_Original!K340,IF(RIGHT(Base_Original!K340,9)=" batalhas",VALUE(LEFT(Base_Original!K340,LEN(Base_Original!K340)-9)),Base_Original!K340))</f>
        <v>17</v>
      </c>
      <c r="S340" s="42" t="str">
        <f>IF($R340="vazio","vazio",IF($R340&lt;=10,"Baixo",IF($R340&lt;=25,"Médio","Alto")))</f>
        <v>Médio</v>
      </c>
      <c r="T340" s="42" t="str">
        <f>IF(AND($S340="Alto",$Q340="Sim"),"Negada","Aprovada")</f>
        <v>Aprovada</v>
      </c>
      <c r="U340" s="43">
        <v>55500</v>
      </c>
    </row>
    <row r="341" spans="1:21">
      <c r="A341" s="47" t="s">
        <v>1195</v>
      </c>
      <c r="B341" s="37" t="str">
        <f>IF(Base_Original!A341="","vazio",IF(Base_Original!A341="ATIVO","Ativo",IF(Base_Original!A341="INATIVO","Inativo",Base_Original!A341)))</f>
        <v>Ativo</v>
      </c>
      <c r="C341" s="37" t="str">
        <f>PROPER(Base_Original!B341)</f>
        <v>Tyrion Karstark</v>
      </c>
      <c r="D341" s="38">
        <v>3800</v>
      </c>
      <c r="E341" s="39" t="str">
        <f>IF($D341="","Vazio",IF(LEN(SUBSTITUTE(SUBSTITUTE($D341&amp;"",".",""),"-",""))&lt;&gt;11,"Inválido","OK"))</f>
        <v>Inválido</v>
      </c>
      <c r="F341" s="39" t="str">
        <f>IF($D341="","Vazio",IF(COUNTIF($D$2:$D$369,$D341)&gt;1,"Duplicado","Único"))</f>
        <v>Único</v>
      </c>
      <c r="G341" s="40" t="str">
        <f>IF(TRIM(Base_Original!D341)="","",SUBSTITUTE(TRIM(Base_Original!D341),"anos",""))</f>
        <v>41</v>
      </c>
      <c r="H341" s="50">
        <f>IF($J341="","Vazio",DATEDIF($J341,DATE(2026,9,10),"Y"))</f>
        <v>41</v>
      </c>
      <c r="I34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41" s="33">
        <v>30992</v>
      </c>
      <c r="K341" s="42" t="s">
        <v>91</v>
      </c>
      <c r="L341" s="42" t="str">
        <f>PROPER(Base_Original!G341)</f>
        <v>Oeste</v>
      </c>
      <c r="M341" s="43">
        <v>28600</v>
      </c>
      <c r="N341" s="43">
        <f>IF(ISNUMBER(Base_Original!I341),Base_Original!I341,IF(RIGHT(Base_Original!I341,7)=" moedas",VALUE(LEFT(Base_Original!I341,LEN(Base_Original!I341)-7)),Base_Original!I341))</f>
        <v>67500</v>
      </c>
      <c r="O341" s="44" t="str">
        <f>IF(AND($N341&gt;50000,$Q341="Sim"),"Negada","Aprovada")</f>
        <v>Aprovada</v>
      </c>
      <c r="P341" s="45">
        <f>IF(AND($T341="Negada",$O341="Negada"),0,IF($B341="Ativo",$U341*8%,"0"))</f>
        <v>1760</v>
      </c>
      <c r="Q341" s="46" t="str">
        <f>IF(OR(Base_Original!J341="Sim",Base_Original!J341="sim",Base_Original!J341="SIM"),"Sim",IF(OR(Base_Original!J341="Não",Base_Original!J341="não",Base_Original!J341="NÃO",Base_Original!J341="Nao"),"Não",IF(Base_Original!J341="","vazio",Base_Original!J341)))</f>
        <v>Não</v>
      </c>
      <c r="R341" s="46">
        <f>IF(ISNUMBER(Base_Original!K341),Base_Original!K341,IF(RIGHT(Base_Original!K341,9)=" batalhas",VALUE(LEFT(Base_Original!K341,LEN(Base_Original!K341)-9)),Base_Original!K341))</f>
        <v>39</v>
      </c>
      <c r="S341" s="42" t="str">
        <f>IF($R341="vazio","vazio",IF($R341&lt;=10,"Baixo",IF($R341&lt;=25,"Médio","Alto")))</f>
        <v>Alto</v>
      </c>
      <c r="T341" s="42" t="str">
        <f>IF(AND($S341="Alto",$Q341="Sim"),"Negada","Aprovada")</f>
        <v>Aprovada</v>
      </c>
      <c r="U341" s="43">
        <v>22000</v>
      </c>
    </row>
    <row r="342" spans="1:21">
      <c r="A342" s="47" t="s">
        <v>1196</v>
      </c>
      <c r="B342" s="37" t="str">
        <f>IF(Base_Original!A342="","vazio",IF(Base_Original!A342="ATIVO","Ativo",IF(Base_Original!A342="INATIVO","Inativo",Base_Original!A342)))</f>
        <v>Ativo</v>
      </c>
      <c r="C342" s="37" t="str">
        <f>PROPER(Base_Original!B342)</f>
        <v>Tyrion Lannister</v>
      </c>
      <c r="D342" s="38">
        <v>2800</v>
      </c>
      <c r="E342" s="39" t="str">
        <f>IF($D342="","Vazio",IF(LEN(SUBSTITUTE(SUBSTITUTE($D342&amp;"",".",""),"-",""))&lt;&gt;11,"Inválido","OK"))</f>
        <v>Inválido</v>
      </c>
      <c r="F342" s="39" t="str">
        <f>IF($D342="","Vazio",IF(COUNTIF($D$2:$D$369,$D342)&gt;1,"Duplicado","Único"))</f>
        <v>Único</v>
      </c>
      <c r="G342" s="40" t="str">
        <f>IF(TRIM(Base_Original!D342)="","",SUBSTITUTE(TRIM(Base_Original!D342),"anos",""))</f>
        <v>24</v>
      </c>
      <c r="H342" s="50">
        <f>IF($J342="","Vazio",DATEDIF($J342,DATE(2026,9,10),"Y"))</f>
        <v>24</v>
      </c>
      <c r="I34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42" s="33">
        <v>37470</v>
      </c>
      <c r="K342" s="42" t="s">
        <v>37</v>
      </c>
      <c r="L342" s="42" t="str">
        <f>PROPER(Base_Original!G342)</f>
        <v>Terras Da Tempestade</v>
      </c>
      <c r="M342" s="43">
        <v>16900</v>
      </c>
      <c r="N342" s="43">
        <f>IF(ISNUMBER(Base_Original!I342),Base_Original!I342,IF(RIGHT(Base_Original!I342,7)=" moedas",VALUE(LEFT(Base_Original!I342,LEN(Base_Original!I342)-7)),Base_Original!I342))</f>
        <v>42500</v>
      </c>
      <c r="O342" s="44" t="str">
        <f>IF(AND($N342&gt;50000,$Q342="Sim"),"Negada","Aprovada")</f>
        <v>Aprovada</v>
      </c>
      <c r="P342" s="45">
        <f>IF(AND($T342="Negada",$O342="Negada"),0,IF($B342="Ativo",$U342*8%,"0"))</f>
        <v>1000</v>
      </c>
      <c r="Q342" s="46" t="str">
        <f>IF(OR(Base_Original!J342="Sim",Base_Original!J342="sim",Base_Original!J342="SIM"),"Sim",IF(OR(Base_Original!J342="Não",Base_Original!J342="não",Base_Original!J342="NÃO",Base_Original!J342="Nao"),"Não",IF(Base_Original!J342="","vazio",Base_Original!J342)))</f>
        <v>Sim</v>
      </c>
      <c r="R342" s="46">
        <f>IF(ISNUMBER(Base_Original!K342),Base_Original!K342,IF(RIGHT(Base_Original!K342,9)=" batalhas",VALUE(LEFT(Base_Original!K342,LEN(Base_Original!K342)-9)),Base_Original!K342))</f>
        <v>26</v>
      </c>
      <c r="S342" s="42" t="str">
        <f>IF($R342="vazio","vazio",IF($R342&lt;=10,"Baixo",IF($R342&lt;=25,"Médio","Alto")))</f>
        <v>Alto</v>
      </c>
      <c r="T342" s="42" t="str">
        <f>IF(AND($S342="Alto",$Q342="Sim"),"Negada","Aprovada")</f>
        <v>Negada</v>
      </c>
      <c r="U342" s="43">
        <v>12500</v>
      </c>
    </row>
    <row r="343" spans="1:21">
      <c r="A343" s="47" t="s">
        <v>1197</v>
      </c>
      <c r="B343" s="37" t="str">
        <f>IF(Base_Original!A343="","vazio",IF(Base_Original!A343="ATIVO","Ativo",IF(Base_Original!A343="INATIVO","Inativo",Base_Original!A343)))</f>
        <v>Ativo</v>
      </c>
      <c r="C343" s="37" t="str">
        <f>PROPER(Base_Original!B343)</f>
        <v>Tyrion Snow</v>
      </c>
      <c r="D343" s="38">
        <v>27900</v>
      </c>
      <c r="E343" s="39" t="str">
        <f>IF($D343="","Vazio",IF(LEN(SUBSTITUTE(SUBSTITUTE($D343&amp;"",".",""),"-",""))&lt;&gt;11,"Inválido","OK"))</f>
        <v>Inválido</v>
      </c>
      <c r="F343" s="39" t="str">
        <f>IF($D343="","Vazio",IF(COUNTIF($D$2:$D$369,$D343)&gt;1,"Duplicado","Único"))</f>
        <v>Único</v>
      </c>
      <c r="G343" s="40" t="str">
        <f>IF(TRIM(Base_Original!D343)="","",SUBSTITUTE(TRIM(Base_Original!D343),"anos",""))</f>
        <v>71</v>
      </c>
      <c r="H343" s="50">
        <f>IF($J343="","Vazio",DATEDIF($J343,DATE(2026,9,10),"Y"))</f>
        <v>71</v>
      </c>
      <c r="I34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43" s="33">
        <v>20094</v>
      </c>
      <c r="K343" s="42" t="s">
        <v>275</v>
      </c>
      <c r="L343" s="42" t="str">
        <f>PROPER(Base_Original!G343)</f>
        <v>Campina</v>
      </c>
      <c r="M343" s="43">
        <v>24100</v>
      </c>
      <c r="N343" s="43">
        <f>IF(ISNUMBER(Base_Original!I343),Base_Original!I343,IF(RIGHT(Base_Original!I343,7)=" moedas",VALUE(LEFT(Base_Original!I343,LEN(Base_Original!I343)-7)),Base_Original!I343))</f>
        <v>0</v>
      </c>
      <c r="O343" s="44" t="str">
        <f>IF(AND($N343&gt;50000,$Q343="Sim"),"Negada","Aprovada")</f>
        <v>Aprovada</v>
      </c>
      <c r="P343" s="45">
        <f>IF(AND($T343="Negada",$O343="Negada"),0,IF($B343="Ativo",$U343*8%,"0"))</f>
        <v>6960</v>
      </c>
      <c r="Q343" s="46" t="str">
        <f>IF(OR(Base_Original!J343="Sim",Base_Original!J343="sim",Base_Original!J343="SIM"),"Sim",IF(OR(Base_Original!J343="Não",Base_Original!J343="não",Base_Original!J343="NÃO",Base_Original!J343="Nao"),"Não",IF(Base_Original!J343="","vazio",Base_Original!J343)))</f>
        <v>Não</v>
      </c>
      <c r="R343" s="46">
        <f>IF(ISNUMBER(Base_Original!K343),Base_Original!K343,IF(RIGHT(Base_Original!K343,9)=" batalhas",VALUE(LEFT(Base_Original!K343,LEN(Base_Original!K343)-9)),Base_Original!K343))</f>
        <v>10</v>
      </c>
      <c r="S343" s="42" t="str">
        <f>IF($R343="vazio","vazio",IF($R343&lt;=10,"Baixo",IF($R343&lt;=25,"Médio","Alto")))</f>
        <v>Baixo</v>
      </c>
      <c r="T343" s="42" t="str">
        <f>IF(AND($S343="Alto",$Q343="Sim"),"Negada","Aprovada")</f>
        <v>Aprovada</v>
      </c>
      <c r="U343" s="43">
        <v>87000</v>
      </c>
    </row>
    <row r="344" spans="1:21">
      <c r="A344" s="47" t="s">
        <v>1198</v>
      </c>
      <c r="B344" s="37" t="str">
        <f>IF(Base_Original!A344="","vazio",IF(Base_Original!A344="ATIVO","Ativo",IF(Base_Original!A344="INATIVO","Inativo",Base_Original!A344)))</f>
        <v>Ativo</v>
      </c>
      <c r="C344" s="37" t="str">
        <f>PROPER(Base_Original!B344)</f>
        <v>Tyrion Tyrell</v>
      </c>
      <c r="D344" s="38">
        <v>19000</v>
      </c>
      <c r="E344" s="39" t="str">
        <f>IF($D344="","Vazio",IF(LEN(SUBSTITUTE(SUBSTITUTE($D344&amp;"",".",""),"-",""))&lt;&gt;11,"Inválido","OK"))</f>
        <v>Inválido</v>
      </c>
      <c r="F344" s="39" t="str">
        <f>IF($D344="","Vazio",IF(COUNTIF($D$2:$D$369,$D344)&gt;1,"Duplicado","Único"))</f>
        <v>Único</v>
      </c>
      <c r="G344" s="40" t="str">
        <f>IF(TRIM(Base_Original!D344)="","",SUBSTITUTE(TRIM(Base_Original!D344),"anos",""))</f>
        <v>42</v>
      </c>
      <c r="H344" s="50">
        <f>IF($J344="","Vazio",DATEDIF($J344,DATE(2026,9,10),"Y"))</f>
        <v>42</v>
      </c>
      <c r="I34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44" s="33">
        <v>30724</v>
      </c>
      <c r="K344" s="42" t="s">
        <v>75</v>
      </c>
      <c r="L344" s="42" t="str">
        <f>PROPER(Base_Original!G344)</f>
        <v>Norte</v>
      </c>
      <c r="M344" s="43">
        <v>18500</v>
      </c>
      <c r="N344" s="43">
        <f>IF(ISNUMBER(Base_Original!I344),Base_Original!I344,IF(RIGHT(Base_Original!I344,7)=" moedas",VALUE(LEFT(Base_Original!I344,LEN(Base_Original!I344)-7)),Base_Original!I344))</f>
        <v>59000</v>
      </c>
      <c r="O344" s="44" t="str">
        <f>IF(AND($N344&gt;50000,$Q344="Sim"),"Negada","Aprovada")</f>
        <v>Aprovada</v>
      </c>
      <c r="P344" s="45">
        <f>IF(AND($T344="Negada",$O344="Negada"),0,IF($B344="Ativo",$U344*8%,"0"))</f>
        <v>1320</v>
      </c>
      <c r="Q344" s="46" t="str">
        <f>IF(OR(Base_Original!J344="Sim",Base_Original!J344="sim",Base_Original!J344="SIM"),"Sim",IF(OR(Base_Original!J344="Não",Base_Original!J344="não",Base_Original!J344="NÃO",Base_Original!J344="Nao"),"Não",IF(Base_Original!J344="","vazio",Base_Original!J344)))</f>
        <v>Não</v>
      </c>
      <c r="R344" s="46">
        <f>IF(ISNUMBER(Base_Original!K344),Base_Original!K344,IF(RIGHT(Base_Original!K344,9)=" batalhas",VALUE(LEFT(Base_Original!K344,LEN(Base_Original!K344)-9)),Base_Original!K344))</f>
        <v>44</v>
      </c>
      <c r="S344" s="42" t="str">
        <f>IF($R344="vazio","vazio",IF($R344&lt;=10,"Baixo",IF($R344&lt;=25,"Médio","Alto")))</f>
        <v>Alto</v>
      </c>
      <c r="T344" s="42" t="str">
        <f>IF(AND($S344="Alto",$Q344="Sim"),"Negada","Aprovada")</f>
        <v>Aprovada</v>
      </c>
      <c r="U344" s="43">
        <v>16500</v>
      </c>
    </row>
    <row r="345" spans="1:21">
      <c r="A345" s="47" t="s">
        <v>1199</v>
      </c>
      <c r="B345" s="37" t="str">
        <f>IF(Base_Original!A345="","vazio",IF(Base_Original!A345="ATIVO","Ativo",IF(Base_Original!A345="INATIVO","Inativo",Base_Original!A345)))</f>
        <v>Inativo</v>
      </c>
      <c r="C345" s="37" t="str">
        <f>PROPER(Base_Original!B345)</f>
        <v>Varys  Blackwood</v>
      </c>
      <c r="D345" s="38">
        <v>26700</v>
      </c>
      <c r="E345" s="39" t="str">
        <f>IF($D345="","Vazio",IF(LEN(SUBSTITUTE(SUBSTITUTE($D345&amp;"",".",""),"-",""))&lt;&gt;11,"Inválido","OK"))</f>
        <v>Inválido</v>
      </c>
      <c r="F345" s="39" t="str">
        <f>IF($D345="","Vazio",IF(COUNTIF($D$2:$D$369,$D345)&gt;1,"Duplicado","Único"))</f>
        <v>Único</v>
      </c>
      <c r="G345" s="40" t="str">
        <f>IF(TRIM(Base_Original!D345)="","",SUBSTITUTE(TRIM(Base_Original!D345),"anos",""))</f>
        <v>54</v>
      </c>
      <c r="H345" s="50">
        <f>IF($J345="","Vazio",DATEDIF($J345,DATE(2026,9,10),"Y"))</f>
        <v>54</v>
      </c>
      <c r="I34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45" s="33">
        <v>26453</v>
      </c>
      <c r="K345" s="42" t="s">
        <v>150</v>
      </c>
      <c r="L345" s="42" t="str">
        <f>PROPER(Base_Original!G345)</f>
        <v>Gargalo</v>
      </c>
      <c r="M345" s="43">
        <v>3900</v>
      </c>
      <c r="N345" s="43">
        <f>IF(ISNUMBER(Base_Original!I345),Base_Original!I345,IF(RIGHT(Base_Original!I345,7)=" moedas",VALUE(LEFT(Base_Original!I345,LEN(Base_Original!I345)-7)),Base_Original!I345))</f>
        <v>80000</v>
      </c>
      <c r="O345" s="44" t="str">
        <f>IF(AND($N345&gt;50000,$Q345="Sim"),"Negada","Aprovada")</f>
        <v>Aprovada</v>
      </c>
      <c r="P345" s="45" t="str">
        <f>IF(AND($T345="Negada",$O345="Negada"),0,IF($B345="Ativo",$U345*8%,"0"))</f>
        <v>0</v>
      </c>
      <c r="Q345" s="46" t="str">
        <f>IF(OR(Base_Original!J345="Sim",Base_Original!J345="sim",Base_Original!J345="SIM"),"Sim",IF(OR(Base_Original!J345="Não",Base_Original!J345="não",Base_Original!J345="NÃO",Base_Original!J345="Nao"),"Não",IF(Base_Original!J345="","vazio",Base_Original!J345)))</f>
        <v>Não</v>
      </c>
      <c r="R345" s="46">
        <f>IF(ISNUMBER(Base_Original!K345),Base_Original!K345,IF(RIGHT(Base_Original!K345,9)=" batalhas",VALUE(LEFT(Base_Original!K345,LEN(Base_Original!K345)-9)),Base_Original!K345))</f>
        <v>41</v>
      </c>
      <c r="S345" s="42" t="str">
        <f>IF($R345="vazio","vazio",IF($R345&lt;=10,"Baixo",IF($R345&lt;=25,"Médio","Alto")))</f>
        <v>Alto</v>
      </c>
      <c r="T345" s="42" t="str">
        <f>IF(AND($S345="Alto",$Q345="Sim"),"Negada","Aprovada")</f>
        <v>Aprovada</v>
      </c>
      <c r="U345" s="43">
        <v>30000</v>
      </c>
    </row>
    <row r="346" spans="1:21">
      <c r="A346" s="47" t="s">
        <v>1200</v>
      </c>
      <c r="B346" s="37" t="str">
        <f>IF(Base_Original!A346="","vazio",IF(Base_Original!A346="ATIVO","Ativo",IF(Base_Original!A346="INATIVO","Inativo",Base_Original!A346)))</f>
        <v>Ativo</v>
      </c>
      <c r="C346" s="37" t="str">
        <f>PROPER(Base_Original!B346)</f>
        <v>Varys  Stark</v>
      </c>
      <c r="D346" s="38">
        <v>37700</v>
      </c>
      <c r="E346" s="39" t="str">
        <f>IF($D346="","Vazio",IF(LEN(SUBSTITUTE(SUBSTITUTE($D346&amp;"",".",""),"-",""))&lt;&gt;11,"Inválido","OK"))</f>
        <v>Inválido</v>
      </c>
      <c r="F346" s="39" t="str">
        <f>IF($D346="","Vazio",IF(COUNTIF($D$2:$D$369,$D346)&gt;1,"Duplicado","Único"))</f>
        <v>Único</v>
      </c>
      <c r="G346" s="40" t="str">
        <f>IF(TRIM(Base_Original!D346)="","",SUBSTITUTE(TRIM(Base_Original!D346),"anos",""))</f>
        <v>23</v>
      </c>
      <c r="H346" s="50">
        <f>IF($J346="","Vazio",DATEDIF($J346,DATE(2026,9,10),"Y"))</f>
        <v>23</v>
      </c>
      <c r="I34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46" s="33">
        <v>37566</v>
      </c>
      <c r="K346" s="42" t="s">
        <v>62</v>
      </c>
      <c r="L346" s="42" t="str">
        <f>PROPER(Base_Original!G346)</f>
        <v>Essos</v>
      </c>
      <c r="M346" s="43">
        <v>2600</v>
      </c>
      <c r="N346" s="43">
        <f>IF(ISNUMBER(Base_Original!I346),Base_Original!I346,IF(RIGHT(Base_Original!I346,7)=" moedas",VALUE(LEFT(Base_Original!I346,LEN(Base_Original!I346)-7)),Base_Original!I346))</f>
        <v>0</v>
      </c>
      <c r="O346" s="44" t="str">
        <f>IF(AND($N346&gt;50000,$Q346="Sim"),"Negada","Aprovada")</f>
        <v>Aprovada</v>
      </c>
      <c r="P346" s="45">
        <f>IF(AND($T346="Negada",$O346="Negada"),0,IF($B346="Ativo",$U346*8%,"0"))</f>
        <v>880</v>
      </c>
      <c r="Q346" s="46" t="str">
        <f>IF(OR(Base_Original!J346="Sim",Base_Original!J346="sim",Base_Original!J346="SIM"),"Sim",IF(OR(Base_Original!J346="Não",Base_Original!J346="não",Base_Original!J346="NÃO",Base_Original!J346="Nao"),"Não",IF(Base_Original!J346="","vazio",Base_Original!J346)))</f>
        <v>Sim</v>
      </c>
      <c r="R346" s="46">
        <f>IF(ISNUMBER(Base_Original!K346),Base_Original!K346,IF(RIGHT(Base_Original!K346,9)=" batalhas",VALUE(LEFT(Base_Original!K346,LEN(Base_Original!K346)-9)),Base_Original!K346))</f>
        <v>30</v>
      </c>
      <c r="S346" s="42" t="str">
        <f>IF($R346="vazio","vazio",IF($R346&lt;=10,"Baixo",IF($R346&lt;=25,"Médio","Alto")))</f>
        <v>Alto</v>
      </c>
      <c r="T346" s="42" t="str">
        <f>IF(AND($S346="Alto",$Q346="Sim"),"Negada","Aprovada")</f>
        <v>Negada</v>
      </c>
      <c r="U346" s="43">
        <v>11000</v>
      </c>
    </row>
    <row r="347" spans="1:21">
      <c r="A347" s="47" t="s">
        <v>1201</v>
      </c>
      <c r="B347" s="37" t="str">
        <f>IF(Base_Original!A347="","vazio",IF(Base_Original!A347="ATIVO","Ativo",IF(Base_Original!A347="INATIVO","Inativo",Base_Original!A347)))</f>
        <v>Ativo</v>
      </c>
      <c r="C347" s="37" t="str">
        <f>PROPER(Base_Original!B347)</f>
        <v>Varys Arryn</v>
      </c>
      <c r="D347" s="38" t="s">
        <v>725</v>
      </c>
      <c r="E347" s="39" t="str">
        <f>IF($D347="","Vazio",IF(LEN(SUBSTITUTE(SUBSTITUTE($D347&amp;"",".",""),"-",""))&lt;&gt;11,"Inválido","OK"))</f>
        <v>OK</v>
      </c>
      <c r="F347" s="39" t="str">
        <f>IF($D347="","Vazio",IF(COUNTIF($D$2:$D$369,$D347)&gt;1,"Duplicado","Único"))</f>
        <v>Único</v>
      </c>
      <c r="G347" s="40" t="str">
        <f>IF(TRIM(Base_Original!D347)="","",SUBSTITUTE(TRIM(Base_Original!D347),"anos",""))</f>
        <v>56</v>
      </c>
      <c r="H347" s="50">
        <f>IF($J347="","Vazio",DATEDIF($J347,DATE(2026,9,10),"Y"))</f>
        <v>56</v>
      </c>
      <c r="I34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47" s="33">
        <v>25808</v>
      </c>
      <c r="K347" s="42" t="s">
        <v>101</v>
      </c>
      <c r="L347" s="42" t="str">
        <f>PROPER(Base_Original!G347)</f>
        <v>Campina</v>
      </c>
      <c r="M347" s="43">
        <v>5400</v>
      </c>
      <c r="N347" s="43">
        <f>IF(ISNUMBER(Base_Original!I347),Base_Original!I347,IF(RIGHT(Base_Original!I347,7)=" moedas",VALUE(LEFT(Base_Original!I347,LEN(Base_Original!I347)-7)),Base_Original!I347))</f>
        <v>61000</v>
      </c>
      <c r="O347" s="44" t="str">
        <f>IF(AND($N347&gt;50000,$Q347="Sim"),"Negada","Aprovada")</f>
        <v>Aprovada</v>
      </c>
      <c r="P347" s="45">
        <f>IF(AND($T347="Negada",$O347="Negada"),0,IF($B347="Ativo",$U347*8%,"0"))</f>
        <v>7720</v>
      </c>
      <c r="Q347" s="46" t="str">
        <f>IF(OR(Base_Original!J347="Sim",Base_Original!J347="sim",Base_Original!J347="SIM"),"Sim",IF(OR(Base_Original!J347="Não",Base_Original!J347="não",Base_Original!J347="NÃO",Base_Original!J347="Nao"),"Não",IF(Base_Original!J347="","vazio",Base_Original!J347)))</f>
        <v>Não</v>
      </c>
      <c r="R347" s="46">
        <f>IF(ISNUMBER(Base_Original!K347),Base_Original!K347,IF(RIGHT(Base_Original!K347,9)=" batalhas",VALUE(LEFT(Base_Original!K347,LEN(Base_Original!K347)-9)),Base_Original!K347))</f>
        <v>12</v>
      </c>
      <c r="S347" s="42" t="str">
        <f>IF($R347="vazio","vazio",IF($R347&lt;=10,"Baixo",IF($R347&lt;=25,"Médio","Alto")))</f>
        <v>Médio</v>
      </c>
      <c r="T347" s="42" t="str">
        <f>IF(AND($S347="Alto",$Q347="Sim"),"Negada","Aprovada")</f>
        <v>Aprovada</v>
      </c>
      <c r="U347" s="43">
        <v>96500</v>
      </c>
    </row>
    <row r="348" spans="1:21">
      <c r="A348" s="47" t="s">
        <v>1202</v>
      </c>
      <c r="B348" s="37" t="str">
        <f>IF(Base_Original!A348="","vazio",IF(Base_Original!A348="ATIVO","Ativo",IF(Base_Original!A348="INATIVO","Inativo",Base_Original!A348)))</f>
        <v>Ativo</v>
      </c>
      <c r="C348" s="37" t="str">
        <f>PROPER(Base_Original!B348)</f>
        <v>Varys Blackwood</v>
      </c>
      <c r="D348" s="38" t="s">
        <v>727</v>
      </c>
      <c r="E348" s="39" t="str">
        <f>IF($D348="","Vazio",IF(LEN(SUBSTITUTE(SUBSTITUTE($D348&amp;"",".",""),"-",""))&lt;&gt;11,"Inválido","OK"))</f>
        <v>OK</v>
      </c>
      <c r="F348" s="39" t="str">
        <f>IF($D348="","Vazio",IF(COUNTIF($D$2:$D$369,$D348)&gt;1,"Duplicado","Único"))</f>
        <v>Único</v>
      </c>
      <c r="G348" s="40" t="str">
        <f>IF(TRIM(Base_Original!D348)="","",SUBSTITUTE(TRIM(Base_Original!D348),"anos",""))</f>
        <v>47</v>
      </c>
      <c r="H348" s="50" t="s">
        <v>909</v>
      </c>
      <c r="I348" s="51" t="s">
        <v>909</v>
      </c>
      <c r="J348" s="33"/>
      <c r="K348" s="42" t="s">
        <v>62</v>
      </c>
      <c r="L348" s="42" t="str">
        <f>PROPER(Base_Original!G348)</f>
        <v/>
      </c>
      <c r="M348" s="43">
        <v>11600</v>
      </c>
      <c r="N348" s="43">
        <f>IF(ISNUMBER(Base_Original!I348),Base_Original!I348,IF(RIGHT(Base_Original!I348,7)=" moedas",VALUE(LEFT(Base_Original!I348,LEN(Base_Original!I348)-7)),Base_Original!I348))</f>
        <v>63500</v>
      </c>
      <c r="O348" s="44" t="str">
        <f>IF(AND($N348&gt;50000,$Q348="Sim"),"Negada","Aprovada")</f>
        <v>Aprovada</v>
      </c>
      <c r="P348" s="45">
        <f>IF(AND($T348="Negada",$O348="Negada"),0,IF($B348="Ativo",$U348*8%,"0"))</f>
        <v>240</v>
      </c>
      <c r="Q348" s="46">
        <f>IF(OR(Base_Original!J348="Sim",Base_Original!J348="sim",Base_Original!J348="SIM"),"Sim",IF(OR(Base_Original!J348="Não",Base_Original!J348="não",Base_Original!J348="NÃO",Base_Original!J348="Nao"),"Não",IF(Base_Original!J348="","vazio",Base_Original!J348)))</f>
        <v>0</v>
      </c>
      <c r="R348" s="46">
        <f>IF(ISNUMBER(Base_Original!K348),Base_Original!K348,IF(RIGHT(Base_Original!K348,9)=" batalhas",VALUE(LEFT(Base_Original!K348,LEN(Base_Original!K348)-9)),Base_Original!K348))</f>
        <v>18</v>
      </c>
      <c r="S348" s="42" t="str">
        <f>IF($R348="vazio","vazio",IF($R348&lt;=10,"Baixo",IF($R348&lt;=25,"Médio","Alto")))</f>
        <v>Médio</v>
      </c>
      <c r="T348" s="42" t="str">
        <f>IF(AND($S348="Alto",$Q348="Sim"),"Negada","Aprovada")</f>
        <v>Aprovada</v>
      </c>
      <c r="U348" s="43">
        <v>3000</v>
      </c>
    </row>
    <row r="349" spans="1:21">
      <c r="A349" s="47" t="s">
        <v>1203</v>
      </c>
      <c r="B349" s="37" t="str">
        <f>IF(Base_Original!A349="","vazio",IF(Base_Original!A349="ATIVO","Ativo",IF(Base_Original!A349="INATIVO","Inativo",Base_Original!A349)))</f>
        <v>Ativo</v>
      </c>
      <c r="C349" s="37" t="str">
        <f>PROPER(Base_Original!B349)</f>
        <v>Varys Bolton</v>
      </c>
      <c r="D349" s="38">
        <v>27200</v>
      </c>
      <c r="E349" s="39" t="str">
        <f>IF($D349="","Vazio",IF(LEN(SUBSTITUTE(SUBSTITUTE($D349&amp;"",".",""),"-",""))&lt;&gt;11,"Inválido","OK"))</f>
        <v>Inválido</v>
      </c>
      <c r="F349" s="39" t="str">
        <f>IF($D349="","Vazio",IF(COUNTIF($D$2:$D$369,$D349)&gt;1,"Duplicado","Único"))</f>
        <v>Único</v>
      </c>
      <c r="G349" s="40" t="str">
        <f>IF(TRIM(Base_Original!D349)="","",SUBSTITUTE(TRIM(Base_Original!D349),"anos",""))</f>
        <v>56</v>
      </c>
      <c r="H349" s="50">
        <f>IF($J349="","Vazio",DATEDIF($J349,DATE(2026,9,10),"Y"))</f>
        <v>56</v>
      </c>
      <c r="I34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49" s="33">
        <v>25710</v>
      </c>
      <c r="K349" s="42" t="s">
        <v>99</v>
      </c>
      <c r="L349" s="42" t="str">
        <f>PROPER(Base_Original!G349)</f>
        <v>Norte</v>
      </c>
      <c r="M349" s="43">
        <v>14100</v>
      </c>
      <c r="N349" s="43">
        <f>IF(ISNUMBER(Base_Original!I349),Base_Original!I349,IF(RIGHT(Base_Original!I349,7)=" moedas",VALUE(LEFT(Base_Original!I349,LEN(Base_Original!I349)-7)),Base_Original!I349))</f>
        <v>1500</v>
      </c>
      <c r="O349" s="44" t="str">
        <f>IF(AND($N349&gt;50000,$Q349="Sim"),"Negada","Aprovada")</f>
        <v>Aprovada</v>
      </c>
      <c r="P349" s="45">
        <f>IF(AND($T349="Negada",$O349="Negada"),0,IF($B349="Ativo",$U349*8%,"0"))</f>
        <v>2880</v>
      </c>
      <c r="Q349" s="46" t="str">
        <f>IF(OR(Base_Original!J349="Sim",Base_Original!J349="sim",Base_Original!J349="SIM"),"Sim",IF(OR(Base_Original!J349="Não",Base_Original!J349="não",Base_Original!J349="NÃO",Base_Original!J349="Nao"),"Não",IF(Base_Original!J349="","vazio",Base_Original!J349)))</f>
        <v>Não</v>
      </c>
      <c r="R349" s="46">
        <f>IF(ISNUMBER(Base_Original!K349),Base_Original!K349,IF(RIGHT(Base_Original!K349,9)=" batalhas",VALUE(LEFT(Base_Original!K349,LEN(Base_Original!K349)-9)),Base_Original!K349))</f>
        <v>26</v>
      </c>
      <c r="S349" s="42" t="str">
        <f>IF($R349="vazio","vazio",IF($R349&lt;=10,"Baixo",IF($R349&lt;=25,"Médio","Alto")))</f>
        <v>Alto</v>
      </c>
      <c r="T349" s="42" t="str">
        <f>IF(AND($S349="Alto",$Q349="Sim"),"Negada","Aprovada")</f>
        <v>Aprovada</v>
      </c>
      <c r="U349" s="43">
        <v>36000</v>
      </c>
    </row>
    <row r="350" spans="1:21">
      <c r="A350" s="47" t="s">
        <v>1204</v>
      </c>
      <c r="B350" s="37" t="str">
        <f>IF(Base_Original!A350="","vazio",IF(Base_Original!A350="ATIVO","Ativo",IF(Base_Original!A350="INATIVO","Inativo",Base_Original!A350)))</f>
        <v>Ativo</v>
      </c>
      <c r="C350" s="37" t="str">
        <f>PROPER(Base_Original!B350)</f>
        <v>Varys Bracken</v>
      </c>
      <c r="D350" s="38" t="s">
        <v>730</v>
      </c>
      <c r="E350" s="39" t="str">
        <f>IF($D350="","Vazio",IF(LEN(SUBSTITUTE(SUBSTITUTE($D350&amp;"",".",""),"-",""))&lt;&gt;11,"Inválido","OK"))</f>
        <v>OK</v>
      </c>
      <c r="F350" s="39" t="str">
        <f>IF($D350="","Vazio",IF(COUNTIF($D$2:$D$369,$D350)&gt;1,"Duplicado","Único"))</f>
        <v>Único</v>
      </c>
      <c r="G350" s="40" t="str">
        <f>IF(TRIM(Base_Original!D350)="","",SUBSTITUTE(TRIM(Base_Original!D350),"anos",""))</f>
        <v>28</v>
      </c>
      <c r="H350" s="50">
        <f>IF($J350="","Vazio",DATEDIF($J350,DATE(2026,9,10),"Y"))</f>
        <v>28</v>
      </c>
      <c r="I35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50" s="33">
        <v>35887</v>
      </c>
      <c r="K350" s="42" t="s">
        <v>104</v>
      </c>
      <c r="L350" s="42" t="str">
        <f>PROPER(Base_Original!G350)</f>
        <v>Terras Da Coroa</v>
      </c>
      <c r="M350" s="43">
        <v>2000</v>
      </c>
      <c r="N350" s="43">
        <f>IF(ISNUMBER(Base_Original!I350),Base_Original!I350,IF(RIGHT(Base_Original!I350,7)=" moedas",VALUE(LEFT(Base_Original!I350,LEN(Base_Original!I350)-7)),Base_Original!I350))</f>
        <v>51000</v>
      </c>
      <c r="O350" s="44" t="str">
        <f>IF(AND($N350&gt;50000,$Q350="Sim"),"Negada","Aprovada")</f>
        <v>Aprovada</v>
      </c>
      <c r="P350" s="45">
        <f>IF(AND($T350="Negada",$O350="Negada"),0,IF($B350="Ativo",$U350*8%,"0"))</f>
        <v>5800</v>
      </c>
      <c r="Q350" s="46" t="str">
        <f>IF(OR(Base_Original!J350="Sim",Base_Original!J350="sim",Base_Original!J350="SIM"),"Sim",IF(OR(Base_Original!J350="Não",Base_Original!J350="não",Base_Original!J350="NÃO",Base_Original!J350="Nao"),"Não",IF(Base_Original!J350="","vazio",Base_Original!J350)))</f>
        <v>Não</v>
      </c>
      <c r="R350" s="46">
        <f>IF(ISNUMBER(Base_Original!K350),Base_Original!K350,IF(RIGHT(Base_Original!K350,9)=" batalhas",VALUE(LEFT(Base_Original!K350,LEN(Base_Original!K350)-9)),Base_Original!K350))</f>
        <v>12</v>
      </c>
      <c r="S350" s="42" t="str">
        <f>IF($R350="vazio","vazio",IF($R350&lt;=10,"Baixo",IF($R350&lt;=25,"Médio","Alto")))</f>
        <v>Médio</v>
      </c>
      <c r="T350" s="42" t="str">
        <f>IF(AND($S350="Alto",$Q350="Sim"),"Negada","Aprovada")</f>
        <v>Aprovada</v>
      </c>
      <c r="U350" s="43">
        <v>72500</v>
      </c>
    </row>
    <row r="351" spans="1:21">
      <c r="A351" s="47" t="s">
        <v>1205</v>
      </c>
      <c r="B351" s="37" t="str">
        <f>IF(Base_Original!A351="","vazio",IF(Base_Original!A351="ATIVO","Ativo",IF(Base_Original!A351="INATIVO","Inativo",Base_Original!A351)))</f>
        <v>Ativo</v>
      </c>
      <c r="C351" s="37" t="str">
        <f>PROPER(Base_Original!B351)</f>
        <v>Varys Florent</v>
      </c>
      <c r="D351" s="38">
        <v>26400</v>
      </c>
      <c r="E351" s="39" t="str">
        <f>IF($D351="","Vazio",IF(LEN(SUBSTITUTE(SUBSTITUTE($D351&amp;"",".",""),"-",""))&lt;&gt;11,"Inválido","OK"))</f>
        <v>Inválido</v>
      </c>
      <c r="F351" s="39" t="str">
        <f>IF($D351="","Vazio",IF(COUNTIF($D$2:$D$369,$D351)&gt;1,"Duplicado","Único"))</f>
        <v>Único</v>
      </c>
      <c r="G351" s="40" t="str">
        <f>IF(TRIM(Base_Original!D351)="","",SUBSTITUTE(TRIM(Base_Original!D351),"anos",""))</f>
        <v>57</v>
      </c>
      <c r="H351" s="50">
        <f>IF($J351="","Vazio",DATEDIF($J351,DATE(2026,9,10),"Y"))</f>
        <v>57</v>
      </c>
      <c r="I35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51" s="33">
        <v>25238</v>
      </c>
      <c r="K351" s="42" t="s">
        <v>304</v>
      </c>
      <c r="L351" s="42" t="str">
        <f>PROPER(Base_Original!G351)</f>
        <v/>
      </c>
      <c r="M351" s="43">
        <v>3200</v>
      </c>
      <c r="N351" s="43" t="s">
        <v>880</v>
      </c>
      <c r="O351" s="44" t="str">
        <f>IF(AND($N351&gt;50000,$Q351="Sim"),"Negada","Aprovada")</f>
        <v>Aprovada</v>
      </c>
      <c r="P351" s="45">
        <f>IF(AND($T351="Negada",$O351="Negada"),0,IF($B351="Ativo",$U351*8%,"0"))</f>
        <v>5120</v>
      </c>
      <c r="Q351" s="46" t="str">
        <f>IF(OR(Base_Original!J351="Sim",Base_Original!J351="sim",Base_Original!J351="SIM"),"Sim",IF(OR(Base_Original!J351="Não",Base_Original!J351="não",Base_Original!J351="NÃO",Base_Original!J351="Nao"),"Não",IF(Base_Original!J351="","vazio",Base_Original!J351)))</f>
        <v>Não</v>
      </c>
      <c r="R351" s="46">
        <f>IF(ISNUMBER(Base_Original!K351),Base_Original!K351,IF(RIGHT(Base_Original!K351,9)=" batalhas",VALUE(LEFT(Base_Original!K351,LEN(Base_Original!K351)-9)),Base_Original!K351))</f>
        <v>18</v>
      </c>
      <c r="S351" s="42" t="str">
        <f>IF($R351="vazio","vazio",IF($R351&lt;=10,"Baixo",IF($R351&lt;=25,"Médio","Alto")))</f>
        <v>Médio</v>
      </c>
      <c r="T351" s="42" t="str">
        <f>IF(AND($S351="Alto",$Q351="Sim"),"Negada","Aprovada")</f>
        <v>Aprovada</v>
      </c>
      <c r="U351" s="43">
        <v>64000</v>
      </c>
    </row>
    <row r="352" spans="1:21">
      <c r="A352" s="47" t="s">
        <v>1206</v>
      </c>
      <c r="B352" s="37" t="str">
        <f>IF(Base_Original!A353="","vazio",IF(Base_Original!A353="ATIVO","Ativo",IF(Base_Original!A353="INATIVO","Inativo",Base_Original!A353)))</f>
        <v>Ativo</v>
      </c>
      <c r="C352" s="37" t="str">
        <f>PROPER(Base_Original!B353)</f>
        <v>Varys Lannister</v>
      </c>
      <c r="D352" s="38" t="s">
        <v>736</v>
      </c>
      <c r="E352" s="39" t="str">
        <f>IF($D352="","Vazio",IF(LEN(SUBSTITUTE(SUBSTITUTE($D352&amp;"",".",""),"-",""))&lt;&gt;11,"Inválido","OK"))</f>
        <v>OK</v>
      </c>
      <c r="F352" s="39" t="str">
        <f>IF($D352="","Vazio",IF(COUNTIF($D$2:$D$369,$D352)&gt;1,"Duplicado","Único"))</f>
        <v>Único</v>
      </c>
      <c r="G352" s="40" t="str">
        <f>IF(TRIM(Base_Original!D352)="","",SUBSTITUTE(TRIM(Base_Original!D352),"anos",""))</f>
        <v>60</v>
      </c>
      <c r="H352" s="50">
        <f>IF($J352="","Vazio",DATEDIF($J352,DATE(2026,9,10),"Y"))</f>
        <v>60</v>
      </c>
      <c r="I35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52" s="33">
        <v>24054</v>
      </c>
      <c r="K352" s="42" t="s">
        <v>135</v>
      </c>
      <c r="L352" s="42" t="str">
        <f>PROPER(Base_Original!G353)</f>
        <v/>
      </c>
      <c r="M352" s="43">
        <v>21600</v>
      </c>
      <c r="N352" s="43">
        <f>IF(ISNUMBER(Base_Original!I353),Base_Original!I353,IF(RIGHT(Base_Original!I353,7)=" moedas",VALUE(LEFT(Base_Original!I353,LEN(Base_Original!I353)-7)),Base_Original!I353))</f>
        <v>73500</v>
      </c>
      <c r="O352" s="44" t="str">
        <f>IF(AND($N352&gt;50000,$Q352="Sim"),"Negada","Aprovada")</f>
        <v>Negada</v>
      </c>
      <c r="P352" s="45">
        <f>IF(AND($T352="Negada",$O352="Negada"),0,IF($B352="Ativo",$U352*8%,"0"))</f>
        <v>1960</v>
      </c>
      <c r="Q352" s="46" t="str">
        <f>IF(OR(Base_Original!J353="Sim",Base_Original!J353="sim",Base_Original!J353="SIM"),"Sim",IF(OR(Base_Original!J353="Não",Base_Original!J353="não",Base_Original!J353="NÃO",Base_Original!J353="Nao"),"Não",IF(Base_Original!J353="","vazio",Base_Original!J353)))</f>
        <v>Sim</v>
      </c>
      <c r="R352" s="46">
        <f>IF(ISNUMBER(Base_Original!K353),Base_Original!K353,IF(RIGHT(Base_Original!K353,9)=" batalhas",VALUE(LEFT(Base_Original!K353,LEN(Base_Original!K353)-9)),Base_Original!K353))</f>
        <v>7</v>
      </c>
      <c r="S352" s="42" t="str">
        <f>IF($R352="vazio","vazio",IF($R352&lt;=10,"Baixo",IF($R352&lt;=25,"Médio","Alto")))</f>
        <v>Baixo</v>
      </c>
      <c r="T352" s="42" t="str">
        <f>IF(AND($S352="Alto",$Q352="Sim"),"Negada","Aprovada")</f>
        <v>Aprovada</v>
      </c>
      <c r="U352" s="43">
        <v>24500</v>
      </c>
    </row>
    <row r="353" spans="1:21">
      <c r="A353" s="47" t="s">
        <v>1207</v>
      </c>
      <c r="B353" s="37" t="str">
        <f>IF(Base_Original!A352="","vazio",IF(Base_Original!A352="ATIVO","Ativo",IF(Base_Original!A352="INATIVO","Inativo",Base_Original!A352)))</f>
        <v>Ativo</v>
      </c>
      <c r="C353" s="37" t="str">
        <f>PROPER(Base_Original!B352)</f>
        <v>Varys Lannister</v>
      </c>
      <c r="D353" s="38" t="s">
        <v>734</v>
      </c>
      <c r="E353" s="39" t="str">
        <f>IF($D353="","Vazio",IF(LEN(SUBSTITUTE(SUBSTITUTE($D353&amp;"",".",""),"-",""))&lt;&gt;11,"Inválido","OK"))</f>
        <v>OK</v>
      </c>
      <c r="F353" s="39" t="str">
        <f>IF($D353="","Vazio",IF(COUNTIF($D$2:$D$369,$D353)&gt;1,"Duplicado","Único"))</f>
        <v>Único</v>
      </c>
      <c r="G353" s="40" t="str">
        <f>IF(TRIM(Base_Original!D353)="","",SUBSTITUTE(TRIM(Base_Original!D353),"anos",""))</f>
        <v>67</v>
      </c>
      <c r="H353" s="50">
        <f>IF($J353="","Vazio",DATEDIF($J353,DATE(2026,9,10),"Y"))</f>
        <v>67</v>
      </c>
      <c r="I35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53" s="33">
        <v>21497</v>
      </c>
      <c r="K353" s="42" t="s">
        <v>51</v>
      </c>
      <c r="L353" s="42" t="str">
        <f>PROPER(Base_Original!G352)</f>
        <v>Vale</v>
      </c>
      <c r="M353" s="43">
        <v>22600</v>
      </c>
      <c r="N353" s="43">
        <f>IF(ISNUMBER(Base_Original!I352),Base_Original!I352,IF(RIGHT(Base_Original!I352,7)=" moedas",VALUE(LEFT(Base_Original!I352,LEN(Base_Original!I352)-7)),Base_Original!I352))</f>
        <v>80000</v>
      </c>
      <c r="O353" s="44" t="str">
        <f>IF(AND($N353&gt;50000,$Q353="Sim"),"Negada","Aprovada")</f>
        <v>Aprovada</v>
      </c>
      <c r="P353" s="45">
        <f>IF(AND($T353="Negada",$O353="Negada"),0,IF($B353="Ativo",$U353*8%,"0"))</f>
        <v>4680</v>
      </c>
      <c r="Q353" s="46" t="str">
        <f>IF(OR(Base_Original!J352="Sim",Base_Original!J352="sim",Base_Original!J352="SIM"),"Sim",IF(OR(Base_Original!J352="Não",Base_Original!J352="não",Base_Original!J352="NÃO",Base_Original!J352="Nao"),"Não",IF(Base_Original!J352="","vazio",Base_Original!J352)))</f>
        <v>Não</v>
      </c>
      <c r="R353" s="46">
        <f>IF(ISNUMBER(Base_Original!K352),Base_Original!K352,IF(RIGHT(Base_Original!K352,9)=" batalhas",VALUE(LEFT(Base_Original!K352,LEN(Base_Original!K352)-9)),Base_Original!K352))</f>
        <v>9</v>
      </c>
      <c r="S353" s="42" t="str">
        <f>IF($R353="vazio","vazio",IF($R353&lt;=10,"Baixo",IF($R353&lt;=25,"Médio","Alto")))</f>
        <v>Baixo</v>
      </c>
      <c r="T353" s="42" t="str">
        <f>IF(AND($S353="Alto",$Q353="Sim"),"Negada","Aprovada")</f>
        <v>Aprovada</v>
      </c>
      <c r="U353" s="43">
        <v>58500</v>
      </c>
    </row>
    <row r="354" spans="1:21">
      <c r="A354" s="47" t="s">
        <v>1208</v>
      </c>
      <c r="B354" s="37" t="str">
        <f>IF(Base_Original!A354="","vazio",IF(Base_Original!A354="ATIVO","Ativo",IF(Base_Original!A354="INATIVO","Inativo",Base_Original!A354)))</f>
        <v>Inativo</v>
      </c>
      <c r="C354" s="37" t="str">
        <f>PROPER(Base_Original!B354)</f>
        <v>Varys Tallhart</v>
      </c>
      <c r="D354" s="38"/>
      <c r="E354" s="39" t="str">
        <f>IF($D354="","Vazio",IF(LEN(SUBSTITUTE(SUBSTITUTE($D354&amp;"",".",""),"-",""))&lt;&gt;11,"Inválido","OK"))</f>
        <v>Vazio</v>
      </c>
      <c r="F354" s="39" t="str">
        <f>IF($D354="","Vazio",IF(COUNTIF($D$2:$D$369,$D354)&gt;1,"Duplicado","Único"))</f>
        <v>Vazio</v>
      </c>
      <c r="G354" s="40" t="str">
        <f>IF(TRIM(Base_Original!D354)="","",SUBSTITUTE(TRIM(Base_Original!D354),"anos",""))</f>
        <v>61</v>
      </c>
      <c r="H354" s="50">
        <f>IF($J354="","Vazio",DATEDIF($J354,DATE(2026,9,10),"Y"))</f>
        <v>61</v>
      </c>
      <c r="I35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54" s="33">
        <v>23932</v>
      </c>
      <c r="K354" s="42" t="s">
        <v>25</v>
      </c>
      <c r="L354" s="42" t="str">
        <f>PROPER(Base_Original!G354)</f>
        <v>Terras Fluviais</v>
      </c>
      <c r="M354" s="43">
        <v>4100</v>
      </c>
      <c r="N354" s="43">
        <f>IF(ISNUMBER(Base_Original!I354),Base_Original!I354,IF(RIGHT(Base_Original!I354,7)=" moedas",VALUE(LEFT(Base_Original!I354,LEN(Base_Original!I354)-7)),Base_Original!I354))</f>
        <v>78000</v>
      </c>
      <c r="O354" s="44" t="str">
        <f>IF(AND($N354&gt;50000,$Q354="Sim"),"Negada","Aprovada")</f>
        <v>Aprovada</v>
      </c>
      <c r="P354" s="45" t="str">
        <f>IF(AND($T354="Negada",$O354="Negada"),0,IF($B354="Ativo",$U354*8%,"0"))</f>
        <v>0</v>
      </c>
      <c r="Q354" s="46" t="str">
        <f>IF(OR(Base_Original!J354="Sim",Base_Original!J354="sim",Base_Original!J354="SIM"),"Sim",IF(OR(Base_Original!J354="Não",Base_Original!J354="não",Base_Original!J354="NÃO",Base_Original!J354="Nao"),"Não",IF(Base_Original!J354="","vazio",Base_Original!J354)))</f>
        <v>Não</v>
      </c>
      <c r="R354" s="46">
        <f>IF(ISNUMBER(Base_Original!K354),Base_Original!K354,IF(RIGHT(Base_Original!K354,9)=" batalhas",VALUE(LEFT(Base_Original!K354,LEN(Base_Original!K354)-9)),Base_Original!K354))</f>
        <v>25</v>
      </c>
      <c r="S354" s="42" t="str">
        <f>IF($R354="vazio","vazio",IF($R354&lt;=10,"Baixo",IF($R354&lt;=25,"Médio","Alto")))</f>
        <v>Médio</v>
      </c>
      <c r="T354" s="42" t="str">
        <f>IF(AND($S354="Alto",$Q354="Sim"),"Negada","Aprovada")</f>
        <v>Aprovada</v>
      </c>
      <c r="U354" s="43">
        <v>48000</v>
      </c>
    </row>
    <row r="355" spans="1:21">
      <c r="A355" s="47" t="s">
        <v>1209</v>
      </c>
      <c r="B355" s="37" t="str">
        <f>IF(Base_Original!A355="","vazio",IF(Base_Original!A355="ATIVO","Ativo",IF(Base_Original!A355="INATIVO","Inativo",Base_Original!A355)))</f>
        <v>Ativo</v>
      </c>
      <c r="C355" s="37" t="str">
        <f>PROPER(Base_Original!B355)</f>
        <v>Varys Targaryen</v>
      </c>
      <c r="D355" s="38" t="s">
        <v>740</v>
      </c>
      <c r="E355" s="39" t="str">
        <f>IF($D355="","Vazio",IF(LEN(SUBSTITUTE(SUBSTITUTE($D355&amp;"",".",""),"-",""))&lt;&gt;11,"Inválido","OK"))</f>
        <v>OK</v>
      </c>
      <c r="F355" s="39" t="str">
        <f>IF($D355="","Vazio",IF(COUNTIF($D$2:$D$369,$D355)&gt;1,"Duplicado","Único"))</f>
        <v>Único</v>
      </c>
      <c r="G355" s="40" t="str">
        <f>IF(TRIM(Base_Original!D355)="","",SUBSTITUTE(TRIM(Base_Original!D355),"anos",""))</f>
        <v>46</v>
      </c>
      <c r="H355" s="50">
        <f>IF($J355="","Vazio",DATEDIF($J355,DATE(2026,9,10),"Y"))</f>
        <v>46</v>
      </c>
      <c r="I35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55" s="33">
        <v>29197</v>
      </c>
      <c r="K355" s="42" t="s">
        <v>30</v>
      </c>
      <c r="L355" s="42" t="str">
        <f>PROPER(Base_Original!G355)</f>
        <v>Essos</v>
      </c>
      <c r="M355" s="43">
        <v>3200</v>
      </c>
      <c r="N355" s="43">
        <f>IF(ISNUMBER(Base_Original!I355),Base_Original!I355,IF(RIGHT(Base_Original!I355,7)=" moedas",VALUE(LEFT(Base_Original!I355,LEN(Base_Original!I355)-7)),Base_Original!I355))</f>
        <v>0</v>
      </c>
      <c r="O355" s="44" t="str">
        <f>IF(AND($N355&gt;50000,$Q355="Sim"),"Negada","Aprovada")</f>
        <v>Aprovada</v>
      </c>
      <c r="P355" s="45">
        <f>IF(AND($T355="Negada",$O355="Negada"),0,IF($B355="Ativo",$U355*8%,"0"))</f>
        <v>4920</v>
      </c>
      <c r="Q355" s="46" t="str">
        <f>IF(OR(Base_Original!J355="Sim",Base_Original!J355="sim",Base_Original!J355="SIM"),"Sim",IF(OR(Base_Original!J355="Não",Base_Original!J355="não",Base_Original!J355="NÃO",Base_Original!J355="Nao"),"Não",IF(Base_Original!J355="","vazio",Base_Original!J355)))</f>
        <v>Não</v>
      </c>
      <c r="R355" s="46">
        <f>IF(ISNUMBER(Base_Original!K355),Base_Original!K355,IF(RIGHT(Base_Original!K355,9)=" batalhas",VALUE(LEFT(Base_Original!K355,LEN(Base_Original!K355)-9)),Base_Original!K355))</f>
        <v>16</v>
      </c>
      <c r="S355" s="42" t="str">
        <f>IF($R355="vazio","vazio",IF($R355&lt;=10,"Baixo",IF($R355&lt;=25,"Médio","Alto")))</f>
        <v>Médio</v>
      </c>
      <c r="T355" s="42" t="str">
        <f>IF(AND($S355="Alto",$Q355="Sim"),"Negada","Aprovada")</f>
        <v>Aprovada</v>
      </c>
      <c r="U355" s="43">
        <v>61500</v>
      </c>
    </row>
    <row r="356" spans="1:21">
      <c r="A356" s="47" t="s">
        <v>1210</v>
      </c>
      <c r="B356" s="37" t="str">
        <f>IF(Base_Original!A356="","vazio",IF(Base_Original!A356="ATIVO","Ativo",IF(Base_Original!A356="INATIVO","Inativo",Base_Original!A356)))</f>
        <v>Ativo</v>
      </c>
      <c r="C356" s="37" t="str">
        <f>PROPER(Base_Original!B356)</f>
        <v>Viserys  Umber</v>
      </c>
      <c r="D356" s="38" t="s">
        <v>742</v>
      </c>
      <c r="E356" s="39" t="str">
        <f>IF($D356="","Vazio",IF(LEN(SUBSTITUTE(SUBSTITUTE($D356&amp;"",".",""),"-",""))&lt;&gt;11,"Inválido","OK"))</f>
        <v>OK</v>
      </c>
      <c r="F356" s="39" t="str">
        <f>IF($D356="","Vazio",IF(COUNTIF($D$2:$D$369,$D356)&gt;1,"Duplicado","Único"))</f>
        <v>Único</v>
      </c>
      <c r="G356" s="40" t="str">
        <f>IF(TRIM(Base_Original!D356)="","",SUBSTITUTE(TRIM(Base_Original!D356),"anos",""))</f>
        <v/>
      </c>
      <c r="H356" s="50">
        <f>IF($J356="","Vazio",DATEDIF($J356,DATE(2026,9,10),"Y"))</f>
        <v>19</v>
      </c>
      <c r="I35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356" s="33">
        <v>39230</v>
      </c>
      <c r="K356" s="42" t="s">
        <v>20</v>
      </c>
      <c r="L356" s="42" t="str">
        <f>PROPER(Base_Original!G356)</f>
        <v>Campina</v>
      </c>
      <c r="M356" s="43">
        <v>18000</v>
      </c>
      <c r="N356" s="43">
        <f>IF(ISNUMBER(Base_Original!I356),Base_Original!I356,IF(RIGHT(Base_Original!I356,7)=" moedas",VALUE(LEFT(Base_Original!I356,LEN(Base_Original!I356)-7)),Base_Original!I356))</f>
        <v>49500</v>
      </c>
      <c r="O356" s="44" t="str">
        <f>IF(AND($N356&gt;50000,$Q356="Sim"),"Negada","Aprovada")</f>
        <v>Aprovada</v>
      </c>
      <c r="P356" s="45">
        <f>IF(AND($T356="Negada",$O356="Negada"),0,IF($B356="Ativo",$U356*8%,"0"))</f>
        <v>3720</v>
      </c>
      <c r="Q356" s="46" t="str">
        <f>IF(OR(Base_Original!J356="Sim",Base_Original!J356="sim",Base_Original!J356="SIM"),"Sim",IF(OR(Base_Original!J356="Não",Base_Original!J356="não",Base_Original!J356="NÃO",Base_Original!J356="Nao"),"Não",IF(Base_Original!J356="","vazio",Base_Original!J356)))</f>
        <v>Não</v>
      </c>
      <c r="R356" s="46">
        <f>IF(ISNUMBER(Base_Original!K356),Base_Original!K356,IF(RIGHT(Base_Original!K356,9)=" batalhas",VALUE(LEFT(Base_Original!K356,LEN(Base_Original!K356)-9)),Base_Original!K356))</f>
        <v>25</v>
      </c>
      <c r="S356" s="42" t="str">
        <f>IF($R356="vazio","vazio",IF($R356&lt;=10,"Baixo",IF($R356&lt;=25,"Médio","Alto")))</f>
        <v>Médio</v>
      </c>
      <c r="T356" s="42" t="str">
        <f>IF(AND($S356="Alto",$Q356="Sim"),"Negada","Aprovada")</f>
        <v>Aprovada</v>
      </c>
      <c r="U356" s="43">
        <v>46500</v>
      </c>
    </row>
    <row r="357" spans="1:21">
      <c r="A357" s="47" t="s">
        <v>1211</v>
      </c>
      <c r="B357" s="37" t="str">
        <f>IF(Base_Original!A357="","vazio",IF(Base_Original!A357="ATIVO","Ativo",IF(Base_Original!A357="INATIVO","Inativo",Base_Original!A357)))</f>
        <v>Inativo</v>
      </c>
      <c r="C357" s="37" t="str">
        <f>PROPER(Base_Original!B357)</f>
        <v>Viserys Baratheon</v>
      </c>
      <c r="D357" s="38" t="s">
        <v>745</v>
      </c>
      <c r="E357" s="39" t="str">
        <f>IF($D357="","Vazio",IF(LEN(SUBSTITUTE(SUBSTITUTE($D357&amp;"",".",""),"-",""))&lt;&gt;11,"Inválido","OK"))</f>
        <v>OK</v>
      </c>
      <c r="F357" s="39" t="str">
        <f>IF($D357="","Vazio",IF(COUNTIF($D$2:$D$369,$D357)&gt;1,"Duplicado","Único"))</f>
        <v>Único</v>
      </c>
      <c r="G357" s="40" t="str">
        <f>IF(TRIM(Base_Original!D357)="","",SUBSTITUTE(TRIM(Base_Original!D357),"anos",""))</f>
        <v>33</v>
      </c>
      <c r="H357" s="50">
        <f>IF($J357="","Vazio",DATEDIF($J357,DATE(2026,9,10),"Y"))</f>
        <v>33</v>
      </c>
      <c r="I35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57" s="33">
        <v>33955</v>
      </c>
      <c r="K357" s="42" t="s">
        <v>242</v>
      </c>
      <c r="L357" s="42" t="str">
        <f>PROPER(Base_Original!G357)</f>
        <v>Norte</v>
      </c>
      <c r="M357" s="43">
        <v>25700</v>
      </c>
      <c r="N357" s="43">
        <f>IF(ISNUMBER(Base_Original!I357),Base_Original!I357,IF(RIGHT(Base_Original!I357,7)=" moedas",VALUE(LEFT(Base_Original!I357,LEN(Base_Original!I357)-7)),Base_Original!I357))</f>
        <v>35000</v>
      </c>
      <c r="O357" s="44" t="str">
        <f>IF(AND($N357&gt;50000,$Q357="Sim"),"Negada","Aprovada")</f>
        <v>Aprovada</v>
      </c>
      <c r="P357" s="45" t="str">
        <f>IF(AND($T357="Negada",$O357="Negada"),0,IF($B357="Ativo",$U357*8%,"0"))</f>
        <v>0</v>
      </c>
      <c r="Q357" s="46" t="str">
        <f>IF(OR(Base_Original!J357="Sim",Base_Original!J357="sim",Base_Original!J357="SIM"),"Sim",IF(OR(Base_Original!J357="Não",Base_Original!J357="não",Base_Original!J357="NÃO",Base_Original!J357="Nao"),"Não",IF(Base_Original!J357="","vazio",Base_Original!J357)))</f>
        <v>Não</v>
      </c>
      <c r="R357" s="46">
        <f>IF(ISNUMBER(Base_Original!K357),Base_Original!K357,IF(RIGHT(Base_Original!K357,9)=" batalhas",VALUE(LEFT(Base_Original!K357,LEN(Base_Original!K357)-9)),Base_Original!K357))</f>
        <v>40</v>
      </c>
      <c r="S357" s="42" t="str">
        <f>IF($R357="vazio","vazio",IF($R357&lt;=10,"Baixo",IF($R357&lt;=25,"Médio","Alto")))</f>
        <v>Alto</v>
      </c>
      <c r="T357" s="42" t="str">
        <f>IF(AND($S357="Alto",$Q357="Sim"),"Negada","Aprovada")</f>
        <v>Aprovada</v>
      </c>
      <c r="U357" s="43">
        <v>1000</v>
      </c>
    </row>
    <row r="358" spans="1:21">
      <c r="A358" s="47" t="s">
        <v>1212</v>
      </c>
      <c r="B358" s="37" t="str">
        <f>IF(Base_Original!A358="","vazio",IF(Base_Original!A358="ATIVO","Ativo",IF(Base_Original!A358="INATIVO","Inativo",Base_Original!A358)))</f>
        <v>Inativo</v>
      </c>
      <c r="C358" s="37" t="str">
        <f>PROPER(Base_Original!B358)</f>
        <v>Viserys Florent</v>
      </c>
      <c r="D358" s="38" t="s">
        <v>747</v>
      </c>
      <c r="E358" s="39" t="str">
        <f>IF($D358="","Vazio",IF(LEN(SUBSTITUTE(SUBSTITUTE($D358&amp;"",".",""),"-",""))&lt;&gt;11,"Inválido","OK"))</f>
        <v>OK</v>
      </c>
      <c r="F358" s="39" t="str">
        <f>IF($D358="","Vazio",IF(COUNTIF($D$2:$D$369,$D358)&gt;1,"Duplicado","Único"))</f>
        <v>Único</v>
      </c>
      <c r="G358" s="40" t="str">
        <f>IF(TRIM(Base_Original!D358)="","",SUBSTITUTE(TRIM(Base_Original!D358),"anos",""))</f>
        <v>59</v>
      </c>
      <c r="H358" s="50">
        <f>IF($J358="","Vazio",DATEDIF($J358,DATE(2026,9,10),"Y"))</f>
        <v>59</v>
      </c>
      <c r="I35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58" s="33">
        <v>24554</v>
      </c>
      <c r="K358" s="42" t="s">
        <v>30</v>
      </c>
      <c r="L358" s="42" t="str">
        <f>PROPER(Base_Original!G358)</f>
        <v>Essos</v>
      </c>
      <c r="M358" s="43">
        <v>15200</v>
      </c>
      <c r="N358" s="43">
        <f>IF(ISNUMBER(Base_Original!I358),Base_Original!I358,IF(RIGHT(Base_Original!I358,7)=" moedas",VALUE(LEFT(Base_Original!I358,LEN(Base_Original!I358)-7)),Base_Original!I358))</f>
        <v>11000</v>
      </c>
      <c r="O358" s="44" t="str">
        <f>IF(AND($N358&gt;50000,$Q358="Sim"),"Negada","Aprovada")</f>
        <v>Aprovada</v>
      </c>
      <c r="P358" s="45" t="str">
        <f>IF(AND($T358="Negada",$O358="Negada"),0,IF($B358="Ativo",$U358*8%,"0"))</f>
        <v>0</v>
      </c>
      <c r="Q358" s="46" t="str">
        <f>IF(OR(Base_Original!J358="Sim",Base_Original!J358="sim",Base_Original!J358="SIM"),"Sim",IF(OR(Base_Original!J358="Não",Base_Original!J358="não",Base_Original!J358="NÃO",Base_Original!J358="Nao"),"Não",IF(Base_Original!J358="","vazio",Base_Original!J358)))</f>
        <v>Não</v>
      </c>
      <c r="R358" s="46">
        <f>IF(ISNUMBER(Base_Original!K358),Base_Original!K358,IF(RIGHT(Base_Original!K358,9)=" batalhas",VALUE(LEFT(Base_Original!K358,LEN(Base_Original!K358)-9)),Base_Original!K358))</f>
        <v>27</v>
      </c>
      <c r="S358" s="42" t="str">
        <f>IF($R358="vazio","vazio",IF($R358&lt;=10,"Baixo",IF($R358&lt;=25,"Médio","Alto")))</f>
        <v>Alto</v>
      </c>
      <c r="T358" s="42" t="str">
        <f>IF(AND($S358="Alto",$Q358="Sim"),"Negada","Aprovada")</f>
        <v>Aprovada</v>
      </c>
      <c r="U358" s="43">
        <v>87000</v>
      </c>
    </row>
    <row r="359" spans="1:21">
      <c r="A359" s="47" t="s">
        <v>1213</v>
      </c>
      <c r="B359" s="37" t="str">
        <f>IF(Base_Original!A359="","vazio",IF(Base_Original!A359="ATIVO","Ativo",IF(Base_Original!A359="INATIVO","Inativo",Base_Original!A359)))</f>
        <v>vazio</v>
      </c>
      <c r="C359" s="37" t="str">
        <f>PROPER(Base_Original!B359)</f>
        <v>Viserys Hightower</v>
      </c>
      <c r="D359" s="38" t="s">
        <v>749</v>
      </c>
      <c r="E359" s="39" t="str">
        <f>IF($D359="","Vazio",IF(LEN(SUBSTITUTE(SUBSTITUTE($D359&amp;"",".",""),"-",""))&lt;&gt;11,"Inválido","OK"))</f>
        <v>OK</v>
      </c>
      <c r="F359" s="39" t="str">
        <f>IF($D359="","Vazio",IF(COUNTIF($D$2:$D$369,$D359)&gt;1,"Duplicado","Único"))</f>
        <v>Único</v>
      </c>
      <c r="G359" s="40" t="str">
        <f>IF(TRIM(Base_Original!D359)="","",SUBSTITUTE(TRIM(Base_Original!D359),"anos",""))</f>
        <v>54</v>
      </c>
      <c r="H359" s="50">
        <f>IF($J359="","Vazio",DATEDIF($J359,DATE(2026,9,10),"Y"))</f>
        <v>54</v>
      </c>
      <c r="I359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59" s="33">
        <v>26403</v>
      </c>
      <c r="K359" s="42" t="s">
        <v>275</v>
      </c>
      <c r="L359" s="42" t="str">
        <f>PROPER(Base_Original!G359)</f>
        <v>Campina</v>
      </c>
      <c r="M359" s="43">
        <v>20800</v>
      </c>
      <c r="N359" s="43">
        <f>IF(ISNUMBER(Base_Original!I359),Base_Original!I359,IF(RIGHT(Base_Original!I359,7)=" moedas",VALUE(LEFT(Base_Original!I359,LEN(Base_Original!I359)-7)),Base_Original!I359))</f>
        <v>16000</v>
      </c>
      <c r="O359" s="44" t="str">
        <f>IF(AND($N359&gt;50000,$Q359="Sim"),"Negada","Aprovada")</f>
        <v>Aprovada</v>
      </c>
      <c r="P359" s="45" t="str">
        <f>IF(AND($T359="Negada",$O359="Negada"),0,IF($B359="Ativo",$U359*8%,"0"))</f>
        <v>0</v>
      </c>
      <c r="Q359" s="46" t="str">
        <f>IF(OR(Base_Original!J359="Sim",Base_Original!J359="sim",Base_Original!J359="SIM"),"Sim",IF(OR(Base_Original!J359="Não",Base_Original!J359="não",Base_Original!J359="NÃO",Base_Original!J359="Nao"),"Não",IF(Base_Original!J359="","vazio",Base_Original!J359)))</f>
        <v>Não</v>
      </c>
      <c r="R359" s="46">
        <f>IF(ISNUMBER(Base_Original!K359),Base_Original!K359,IF(RIGHT(Base_Original!K359,9)=" batalhas",VALUE(LEFT(Base_Original!K359,LEN(Base_Original!K359)-9)),Base_Original!K359))</f>
        <v>32</v>
      </c>
      <c r="S359" s="42" t="str">
        <f>IF($R359="vazio","vazio",IF($R359&lt;=10,"Baixo",IF($R359&lt;=25,"Médio","Alto")))</f>
        <v>Alto</v>
      </c>
      <c r="T359" s="42" t="str">
        <f>IF(AND($S359="Alto",$Q359="Sim"),"Negada","Aprovada")</f>
        <v>Aprovada</v>
      </c>
      <c r="U359" s="43">
        <v>31500</v>
      </c>
    </row>
    <row r="360" spans="1:21">
      <c r="A360" s="47" t="s">
        <v>1214</v>
      </c>
      <c r="B360" s="37" t="str">
        <f>IF(Base_Original!A360="","vazio",IF(Base_Original!A360="ATIVO","Ativo",IF(Base_Original!A360="INATIVO","Inativo",Base_Original!A360)))</f>
        <v>Inativo</v>
      </c>
      <c r="C360" s="37" t="str">
        <f>PROPER(Base_Original!B360)</f>
        <v>Viserys Seaworth</v>
      </c>
      <c r="D360" s="38" t="s">
        <v>752</v>
      </c>
      <c r="E360" s="39" t="str">
        <f>IF($D360="","Vazio",IF(LEN(SUBSTITUTE(SUBSTITUTE($D360&amp;"",".",""),"-",""))&lt;&gt;11,"Inválido","OK"))</f>
        <v>OK</v>
      </c>
      <c r="F360" s="39" t="str">
        <f>IF($D360="","Vazio",IF(COUNTIF($D$2:$D$369,$D360)&gt;1,"Duplicado","Único"))</f>
        <v>Único</v>
      </c>
      <c r="G360" s="40" t="str">
        <f>IF(TRIM(Base_Original!D360)="","",SUBSTITUTE(TRIM(Base_Original!D360),"anos",""))</f>
        <v>61</v>
      </c>
      <c r="H360" s="50">
        <f>IF($J360="","Vazio",DATEDIF($J360,DATE(2026,9,10),"Y"))</f>
        <v>61</v>
      </c>
      <c r="I360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60" s="33">
        <v>23667</v>
      </c>
      <c r="K360" s="42" t="s">
        <v>30</v>
      </c>
      <c r="L360" s="42" t="str">
        <f>PROPER(Base_Original!G360)</f>
        <v>Essos</v>
      </c>
      <c r="M360" s="43">
        <v>23000</v>
      </c>
      <c r="N360" s="43">
        <f>IF(ISNUMBER(Base_Original!I360),Base_Original!I360,IF(RIGHT(Base_Original!I360,7)=" moedas",VALUE(LEFT(Base_Original!I360,LEN(Base_Original!I360)-7)),Base_Original!I360))</f>
        <v>44500</v>
      </c>
      <c r="O360" s="44" t="str">
        <f>IF(AND($N360&gt;50000,$Q360="Sim"),"Negada","Aprovada")</f>
        <v>Aprovada</v>
      </c>
      <c r="P360" s="45" t="str">
        <f>IF(AND($T360="Negada",$O360="Negada"),0,IF($B360="Ativo",$U360*8%,"0"))</f>
        <v>0</v>
      </c>
      <c r="Q360" s="46" t="str">
        <f>IF(OR(Base_Original!J360="Sim",Base_Original!J360="sim",Base_Original!J360="SIM"),"Sim",IF(OR(Base_Original!J360="Não",Base_Original!J360="não",Base_Original!J360="NÃO",Base_Original!J360="Nao"),"Não",IF(Base_Original!J360="","vazio",Base_Original!J360)))</f>
        <v>Sim</v>
      </c>
      <c r="R360" s="46">
        <f>IF(ISNUMBER(Base_Original!K360),Base_Original!K360,IF(RIGHT(Base_Original!K360,9)=" batalhas",VALUE(LEFT(Base_Original!K360,LEN(Base_Original!K360)-9)),Base_Original!K360))</f>
        <v>32</v>
      </c>
      <c r="S360" s="42" t="str">
        <f>IF($R360="vazio","vazio",IF($R360&lt;=10,"Baixo",IF($R360&lt;=25,"Médio","Alto")))</f>
        <v>Alto</v>
      </c>
      <c r="T360" s="42" t="str">
        <f>IF(AND($S360="Alto",$Q360="Sim"),"Negada","Aprovada")</f>
        <v>Negada</v>
      </c>
      <c r="U360" s="43">
        <v>2000</v>
      </c>
    </row>
    <row r="361" spans="1:21">
      <c r="A361" s="47" t="s">
        <v>1215</v>
      </c>
      <c r="B361" s="37" t="str">
        <f>IF(Base_Original!A361="","vazio",IF(Base_Original!A361="ATIVO","Ativo",IF(Base_Original!A361="INATIVO","Inativo",Base_Original!A361)))</f>
        <v>Ativo</v>
      </c>
      <c r="C361" s="37" t="str">
        <f>PROPER(Base_Original!B361)</f>
        <v>Yara  Marbrand</v>
      </c>
      <c r="D361" s="38" t="s">
        <v>754</v>
      </c>
      <c r="E361" s="39" t="str">
        <f>IF($D361="","Vazio",IF(LEN(SUBSTITUTE(SUBSTITUTE($D361&amp;"",".",""),"-",""))&lt;&gt;11,"Inválido","OK"))</f>
        <v>OK</v>
      </c>
      <c r="F361" s="39" t="str">
        <f>IF($D361="","Vazio",IF(COUNTIF($D$2:$D$369,$D361)&gt;1,"Duplicado","Único"))</f>
        <v>Único</v>
      </c>
      <c r="G361" s="40" t="str">
        <f>IF(TRIM(Base_Original!D361)="","",SUBSTITUTE(TRIM(Base_Original!D361),"anos",""))</f>
        <v>70</v>
      </c>
      <c r="H361" s="50">
        <f>IF($J361="","Vazio",DATEDIF($J361,DATE(2026,9,10),"Y"))</f>
        <v>70</v>
      </c>
      <c r="I361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61" s="33">
        <v>20533</v>
      </c>
      <c r="K361" s="42" t="s">
        <v>150</v>
      </c>
      <c r="L361" s="42" t="str">
        <f>PROPER(Base_Original!G361)</f>
        <v>Gargalo</v>
      </c>
      <c r="M361" s="43">
        <v>9100</v>
      </c>
      <c r="N361" s="43">
        <f>IF(ISNUMBER(Base_Original!I361),Base_Original!I361,IF(RIGHT(Base_Original!I361,7)=" moedas",VALUE(LEFT(Base_Original!I361,LEN(Base_Original!I361)-7)),Base_Original!I361))</f>
        <v>40500</v>
      </c>
      <c r="O361" s="44" t="str">
        <f>IF(AND($N361&gt;50000,$Q361="Sim"),"Negada","Aprovada")</f>
        <v>Aprovada</v>
      </c>
      <c r="P361" s="45">
        <f>IF(AND($T361="Negada",$O361="Negada"),0,IF($B361="Ativo",$U361*8%,"0"))</f>
        <v>4240</v>
      </c>
      <c r="Q361" s="46" t="str">
        <f>IF(OR(Base_Original!J361="Sim",Base_Original!J361="sim",Base_Original!J361="SIM"),"Sim",IF(OR(Base_Original!J361="Não",Base_Original!J361="não",Base_Original!J361="NÃO",Base_Original!J361="Nao"),"Não",IF(Base_Original!J361="","vazio",Base_Original!J361)))</f>
        <v>Não</v>
      </c>
      <c r="R361" s="46">
        <f>IF(ISNUMBER(Base_Original!K361),Base_Original!K361,IF(RIGHT(Base_Original!K361,9)=" batalhas",VALUE(LEFT(Base_Original!K361,LEN(Base_Original!K361)-9)),Base_Original!K361))</f>
        <v>35</v>
      </c>
      <c r="S361" s="42" t="str">
        <f>IF($R361="vazio","vazio",IF($R361&lt;=10,"Baixo",IF($R361&lt;=25,"Médio","Alto")))</f>
        <v>Alto</v>
      </c>
      <c r="T361" s="42" t="str">
        <f>IF(AND($S361="Alto",$Q361="Sim"),"Negada","Aprovada")</f>
        <v>Aprovada</v>
      </c>
      <c r="U361" s="43">
        <v>53000</v>
      </c>
    </row>
    <row r="362" spans="1:21">
      <c r="A362" s="47" t="s">
        <v>1216</v>
      </c>
      <c r="B362" s="37" t="str">
        <f>IF(Base_Original!A362="","vazio",IF(Base_Original!A362="ATIVO","Ativo",IF(Base_Original!A362="INATIVO","Inativo",Base_Original!A362)))</f>
        <v>Ativo</v>
      </c>
      <c r="C362" s="37" t="str">
        <f>PROPER(Base_Original!B362)</f>
        <v>Yara Baelish</v>
      </c>
      <c r="D362" s="38">
        <v>34400</v>
      </c>
      <c r="E362" s="39" t="str">
        <f>IF($D362="","Vazio",IF(LEN(SUBSTITUTE(SUBSTITUTE($D362&amp;"",".",""),"-",""))&lt;&gt;11,"Inválido","OK"))</f>
        <v>Inválido</v>
      </c>
      <c r="F362" s="39" t="str">
        <f>IF($D362="","Vazio",IF(COUNTIF($D$2:$D$369,$D362)&gt;1,"Duplicado","Único"))</f>
        <v>Único</v>
      </c>
      <c r="G362" s="40" t="str">
        <f>IF(TRIM(Base_Original!D362)="","",SUBSTITUTE(TRIM(Base_Original!D362),"anos",""))</f>
        <v>64</v>
      </c>
      <c r="H362" s="50">
        <f>IF($J362="","Vazio",DATEDIF($J362,DATE(2026,9,10),"Y"))</f>
        <v>64</v>
      </c>
      <c r="I362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62" s="33">
        <v>22836</v>
      </c>
      <c r="K362" s="42" t="s">
        <v>37</v>
      </c>
      <c r="L362" s="42" t="str">
        <f>PROPER(Base_Original!G362)</f>
        <v>Terras Da Tempestade</v>
      </c>
      <c r="M362" s="43">
        <v>24300</v>
      </c>
      <c r="N362" s="43">
        <f>IF(ISNUMBER(Base_Original!I362),Base_Original!I362,IF(RIGHT(Base_Original!I362,7)=" moedas",VALUE(LEFT(Base_Original!I362,LEN(Base_Original!I362)-7)),Base_Original!I362))</f>
        <v>16500</v>
      </c>
      <c r="O362" s="44" t="str">
        <f>IF(AND($N362&gt;50000,$Q362="Sim"),"Negada","Aprovada")</f>
        <v>Aprovada</v>
      </c>
      <c r="P362" s="45">
        <f>IF(AND($T362="Negada",$O362="Negada"),0,IF($B362="Ativo",$U362*8%,"0"))</f>
        <v>4560</v>
      </c>
      <c r="Q362" s="46" t="str">
        <f>IF(OR(Base_Original!J362="Sim",Base_Original!J362="sim",Base_Original!J362="SIM"),"Sim",IF(OR(Base_Original!J362="Não",Base_Original!J362="não",Base_Original!J362="NÃO",Base_Original!J362="Nao"),"Não",IF(Base_Original!J362="","vazio",Base_Original!J362)))</f>
        <v>Sim</v>
      </c>
      <c r="R362" s="46">
        <f>IF(ISNUMBER(Base_Original!K362),Base_Original!K362,IF(RIGHT(Base_Original!K362,9)=" batalhas",VALUE(LEFT(Base_Original!K362,LEN(Base_Original!K362)-9)),Base_Original!K362))</f>
        <v>24</v>
      </c>
      <c r="S362" s="42" t="str">
        <f>IF($R362="vazio","vazio",IF($R362&lt;=10,"Baixo",IF($R362&lt;=25,"Médio","Alto")))</f>
        <v>Médio</v>
      </c>
      <c r="T362" s="42" t="str">
        <f>IF(AND($S362="Alto",$Q362="Sim"),"Negada","Aprovada")</f>
        <v>Aprovada</v>
      </c>
      <c r="U362" s="43">
        <v>57000</v>
      </c>
    </row>
    <row r="363" spans="1:21">
      <c r="A363" s="47" t="s">
        <v>1217</v>
      </c>
      <c r="B363" s="37" t="str">
        <f>IF(Base_Original!A363="","vazio",IF(Base_Original!A363="ATIVO","Ativo",IF(Base_Original!A363="INATIVO","Inativo",Base_Original!A363)))</f>
        <v>Ativo</v>
      </c>
      <c r="C363" s="37" t="str">
        <f>PROPER(Base_Original!B363)</f>
        <v>Yara Mallister</v>
      </c>
      <c r="D363" s="38" t="s">
        <v>757</v>
      </c>
      <c r="E363" s="39" t="str">
        <f>IF($D363="","Vazio",IF(LEN(SUBSTITUTE(SUBSTITUTE($D363&amp;"",".",""),"-",""))&lt;&gt;11,"Inválido","OK"))</f>
        <v>OK</v>
      </c>
      <c r="F363" s="39" t="str">
        <f>IF($D363="","Vazio",IF(COUNTIF($D$2:$D$369,$D363)&gt;1,"Duplicado","Único"))</f>
        <v>Único</v>
      </c>
      <c r="G363" s="40" t="str">
        <f>IF(TRIM(Base_Original!D363)="","",SUBSTITUTE(TRIM(Base_Original!D363),"anos",""))</f>
        <v>44</v>
      </c>
      <c r="H363" s="50">
        <f>IF($J363="","Vazio",DATEDIF($J363,DATE(2026,9,10),"Y"))</f>
        <v>44</v>
      </c>
      <c r="I363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63" s="33">
        <v>29892</v>
      </c>
      <c r="K363" s="42" t="s">
        <v>91</v>
      </c>
      <c r="L363" s="42" t="str">
        <f>PROPER(Base_Original!G363)</f>
        <v>Oeste</v>
      </c>
      <c r="M363" s="43">
        <v>20600</v>
      </c>
      <c r="N363" s="43">
        <f>IF(ISNUMBER(Base_Original!I363),Base_Original!I363,IF(RIGHT(Base_Original!I363,7)=" moedas",VALUE(LEFT(Base_Original!I363,LEN(Base_Original!I363)-7)),Base_Original!I363))</f>
        <v>8000</v>
      </c>
      <c r="O363" s="44" t="str">
        <f>IF(AND($N363&gt;50000,$Q363="Sim"),"Negada","Aprovada")</f>
        <v>Aprovada</v>
      </c>
      <c r="P363" s="45">
        <f>IF(AND($T363="Negada",$O363="Negada"),0,IF($B363="Ativo",$U363*8%,"0"))</f>
        <v>2880</v>
      </c>
      <c r="Q363" s="46" t="str">
        <f>IF(OR(Base_Original!J363="Sim",Base_Original!J363="sim",Base_Original!J363="SIM"),"Sim",IF(OR(Base_Original!J363="Não",Base_Original!J363="não",Base_Original!J363="NÃO",Base_Original!J363="Nao"),"Não",IF(Base_Original!J363="","vazio",Base_Original!J363)))</f>
        <v>Não</v>
      </c>
      <c r="R363" s="46">
        <f>IF(ISNUMBER(Base_Original!K363),Base_Original!K363,IF(RIGHT(Base_Original!K363,9)=" batalhas",VALUE(LEFT(Base_Original!K363,LEN(Base_Original!K363)-9)),Base_Original!K363))</f>
        <v>39</v>
      </c>
      <c r="S363" s="42" t="str">
        <f>IF($R363="vazio","vazio",IF($R363&lt;=10,"Baixo",IF($R363&lt;=25,"Médio","Alto")))</f>
        <v>Alto</v>
      </c>
      <c r="T363" s="42" t="str">
        <f>IF(AND($S363="Alto",$Q363="Sim"),"Negada","Aprovada")</f>
        <v>Aprovada</v>
      </c>
      <c r="U363" s="43">
        <v>36000</v>
      </c>
    </row>
    <row r="364" spans="1:21">
      <c r="A364" s="47" t="s">
        <v>1218</v>
      </c>
      <c r="B364" s="37" t="str">
        <f>IF(Base_Original!A364="","vazio",IF(Base_Original!A364="ATIVO","Ativo",IF(Base_Original!A364="INATIVO","Inativo",Base_Original!A364)))</f>
        <v>Inativo</v>
      </c>
      <c r="C364" s="37" t="str">
        <f>PROPER(Base_Original!B364)</f>
        <v>Yara Payne</v>
      </c>
      <c r="D364" s="38" t="s">
        <v>759</v>
      </c>
      <c r="E364" s="39" t="str">
        <f>IF($D364="","Vazio",IF(LEN(SUBSTITUTE(SUBSTITUTE($D364&amp;"",".",""),"-",""))&lt;&gt;11,"Inválido","OK"))</f>
        <v>OK</v>
      </c>
      <c r="F364" s="39" t="str">
        <f>IF($D364="","Vazio",IF(COUNTIF($D$2:$D$369,$D364)&gt;1,"Duplicado","Único"))</f>
        <v>Único</v>
      </c>
      <c r="G364" s="40" t="str">
        <f>IF(TRIM(Base_Original!D364)="","",SUBSTITUTE(TRIM(Base_Original!D364),"anos",""))</f>
        <v/>
      </c>
      <c r="H364" s="50">
        <f>IF($J364="","Vazio",DATEDIF($J364,DATE(2026,9,10),"Y"))</f>
        <v>22</v>
      </c>
      <c r="I364" s="51" t="str">
        <f>IF(OR(Tabela2[[#This Row],[Idade_Padronizada]]="",Tabela2[[#This Row],[Idade_Validação]]=""),"Vazio",IF(VALUE(Tabela2[[#This Row],[Idade_Padronizada]]&amp;"")=VALUE(Tabela2[[#This Row],[Idade_Validação]]&amp;""),"OK","Diferente"))</f>
        <v>Vazio</v>
      </c>
      <c r="J364" s="33">
        <v>38001</v>
      </c>
      <c r="K364" s="42" t="s">
        <v>99</v>
      </c>
      <c r="L364" s="42" t="str">
        <f>PROPER(Base_Original!G364)</f>
        <v>Norte</v>
      </c>
      <c r="M364" s="43">
        <v>2100</v>
      </c>
      <c r="N364" s="43">
        <f>IF(ISNUMBER(Base_Original!I364),Base_Original!I364,IF(RIGHT(Base_Original!I364,7)=" moedas",VALUE(LEFT(Base_Original!I364,LEN(Base_Original!I364)-7)),Base_Original!I364))</f>
        <v>79500</v>
      </c>
      <c r="O364" s="44" t="str">
        <f>IF(AND($N364&gt;50000,$Q364="Sim"),"Negada","Aprovada")</f>
        <v>Negada</v>
      </c>
      <c r="P364" s="45">
        <f>IF(AND($T364="Negada",$O364="Negada"),0,IF($B364="Ativo",$U364*8%,"0"))</f>
        <v>0</v>
      </c>
      <c r="Q364" s="46" t="str">
        <f>IF(OR(Base_Original!J364="Sim",Base_Original!J364="sim",Base_Original!J364="SIM"),"Sim",IF(OR(Base_Original!J364="Não",Base_Original!J364="não",Base_Original!J364="NÃO",Base_Original!J364="Nao"),"Não",IF(Base_Original!J364="","vazio",Base_Original!J364)))</f>
        <v>Sim</v>
      </c>
      <c r="R364" s="46">
        <f>IF(ISNUMBER(Base_Original!K364),Base_Original!K364,IF(RIGHT(Base_Original!K364,9)=" batalhas",VALUE(LEFT(Base_Original!K364,LEN(Base_Original!K364)-9)),Base_Original!K364))</f>
        <v>29</v>
      </c>
      <c r="S364" s="42" t="str">
        <f>IF($R364="vazio","vazio",IF($R364&lt;=10,"Baixo",IF($R364&lt;=25,"Médio","Alto")))</f>
        <v>Alto</v>
      </c>
      <c r="T364" s="42" t="str">
        <f>IF(AND($S364="Alto",$Q364="Sim"),"Negada","Aprovada")</f>
        <v>Negada</v>
      </c>
      <c r="U364" s="43">
        <v>64000</v>
      </c>
    </row>
    <row r="365" spans="1:21">
      <c r="A365" s="47" t="s">
        <v>1219</v>
      </c>
      <c r="B365" s="37" t="str">
        <f>IF(Base_Original!A365="","vazio",IF(Base_Original!A365="ATIVO","Ativo",IF(Base_Original!A365="INATIVO","Inativo",Base_Original!A365)))</f>
        <v>Ativo</v>
      </c>
      <c r="C365" s="37" t="str">
        <f>PROPER(Base_Original!B365)</f>
        <v>Yara Royce</v>
      </c>
      <c r="D365" s="38">
        <v>32000</v>
      </c>
      <c r="E365" s="39" t="str">
        <f>IF($D365="","Vazio",IF(LEN(SUBSTITUTE(SUBSTITUTE($D365&amp;"",".",""),"-",""))&lt;&gt;11,"Inválido","OK"))</f>
        <v>Inválido</v>
      </c>
      <c r="F365" s="39" t="str">
        <f>IF($D365="","Vazio",IF(COUNTIF($D$2:$D$369,$D365)&gt;1,"Duplicado","Único"))</f>
        <v>Único</v>
      </c>
      <c r="G365" s="40" t="str">
        <f>IF(TRIM(Base_Original!D365)="","",SUBSTITUTE(TRIM(Base_Original!D365),"anos",""))</f>
        <v>65</v>
      </c>
      <c r="H365" s="50">
        <f>IF($J365="","Vazio",DATEDIF($J365,DATE(2026,9,10),"Y"))</f>
        <v>65</v>
      </c>
      <c r="I365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65" s="33">
        <v>22436</v>
      </c>
      <c r="K365" s="42" t="s">
        <v>40</v>
      </c>
      <c r="L365" s="42" t="str">
        <f>PROPER(Base_Original!G366)</f>
        <v>Norte</v>
      </c>
      <c r="M365" s="43">
        <v>12700</v>
      </c>
      <c r="N365" s="43">
        <f>IF(ISNUMBER(Base_Original!I365),Base_Original!I365,IF(RIGHT(Base_Original!I365,7)=" moedas",VALUE(LEFT(Base_Original!I365,LEN(Base_Original!I365)-7)),Base_Original!I365))</f>
        <v>60500</v>
      </c>
      <c r="O365" s="44" t="str">
        <f>IF(AND($N365&gt;50000,$Q365="Sim"),"Negada","Aprovada")</f>
        <v>Aprovada</v>
      </c>
      <c r="P365" s="45">
        <f>IF(AND($T365="Negada",$O365="Negada"),0,IF($B365="Ativo",$U365*8%,"0"))</f>
        <v>2080</v>
      </c>
      <c r="Q365" s="46" t="str">
        <f>IF(OR(Base_Original!J365="Sim",Base_Original!J365="sim",Base_Original!J365="SIM"),"Sim",IF(OR(Base_Original!J365="Não",Base_Original!J365="não",Base_Original!J365="NÃO",Base_Original!J365="Nao"),"Não",IF(Base_Original!J365="","vazio",Base_Original!J365)))</f>
        <v>Não</v>
      </c>
      <c r="R365" s="46">
        <f>IF(ISNUMBER(Base_Original!K365),Base_Original!K365,IF(RIGHT(Base_Original!K365,9)=" batalhas",VALUE(LEFT(Base_Original!K365,LEN(Base_Original!K365)-9)),Base_Original!K365))</f>
        <v>36</v>
      </c>
      <c r="S365" s="42" t="str">
        <f>IF($R365="vazio","vazio",IF($R365&lt;=10,"Baixo",IF($R365&lt;=25,"Médio","Alto")))</f>
        <v>Alto</v>
      </c>
      <c r="T365" s="42" t="str">
        <f>IF(AND($S365="Alto",$Q365="Sim"),"Negada","Aprovada")</f>
        <v>Aprovada</v>
      </c>
      <c r="U365" s="43">
        <v>26000</v>
      </c>
    </row>
    <row r="366" spans="1:21">
      <c r="A366" s="47" t="s">
        <v>1220</v>
      </c>
      <c r="B366" s="37" t="str">
        <f>IF(Base_Original!A366="","vazio",IF(Base_Original!A366="ATIVO","Ativo",IF(Base_Original!A366="INATIVO","Inativo",Base_Original!A366)))</f>
        <v>Ativo</v>
      </c>
      <c r="C366" s="37" t="str">
        <f>PROPER(Base_Original!B366)</f>
        <v>Yara Royce</v>
      </c>
      <c r="D366" s="38" t="s">
        <v>761</v>
      </c>
      <c r="E366" s="39" t="str">
        <f>IF($D366="","Vazio",IF(LEN(SUBSTITUTE(SUBSTITUTE($D366&amp;"",".",""),"-",""))&lt;&gt;11,"Inválido","OK"))</f>
        <v>OK</v>
      </c>
      <c r="F366" s="39" t="str">
        <f>IF($D366="","Vazio",IF(COUNTIF($D$2:$D$369,$D366)&gt;1,"Duplicado","Único"))</f>
        <v>Único</v>
      </c>
      <c r="G366" s="40" t="str">
        <f>IF(TRIM(Base_Original!D366)="","",SUBSTITUTE(TRIM(Base_Original!D366),"anos",""))</f>
        <v>68</v>
      </c>
      <c r="H366" s="50">
        <f>IF($J366="","Vazio",DATEDIF($J366,DATE(2026,9,10),"Y"))</f>
        <v>68</v>
      </c>
      <c r="I366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66" s="33">
        <v>21162</v>
      </c>
      <c r="K366" s="42" t="s">
        <v>51</v>
      </c>
      <c r="L366" s="42" t="str">
        <f>PROPER(Base_Original!G365)</f>
        <v>Vale</v>
      </c>
      <c r="M366" s="43">
        <v>11500</v>
      </c>
      <c r="N366" s="43">
        <f>IF(ISNUMBER(Base_Original!I366),Base_Original!I366,IF(RIGHT(Base_Original!I366,7)=" moedas",VALUE(LEFT(Base_Original!I366,LEN(Base_Original!I366)-7)),Base_Original!I366))</f>
        <v>17500</v>
      </c>
      <c r="O366" s="44" t="str">
        <f>IF(AND($N366&gt;50000,$Q366="Sim"),"Negada","Aprovada")</f>
        <v>Aprovada</v>
      </c>
      <c r="P366" s="45">
        <f>IF(AND($T366="Negada",$O366="Negada"),0,IF($B366="Ativo",$U366*8%,"0"))</f>
        <v>2240</v>
      </c>
      <c r="Q366" s="46" t="str">
        <f>IF(OR(Base_Original!J366="Sim",Base_Original!J366="sim",Base_Original!J366="SIM"),"Sim",IF(OR(Base_Original!J366="Não",Base_Original!J366="não",Base_Original!J366="NÃO",Base_Original!J366="Nao"),"Não",IF(Base_Original!J366="","vazio",Base_Original!J366)))</f>
        <v>Não</v>
      </c>
      <c r="R366" s="46">
        <f>IF(ISNUMBER(Base_Original!K366),Base_Original!K366,IF(RIGHT(Base_Original!K366,9)=" batalhas",VALUE(LEFT(Base_Original!K366,LEN(Base_Original!K366)-9)),Base_Original!K366))</f>
        <v>19</v>
      </c>
      <c r="S366" s="42" t="str">
        <f>IF($R366="vazio","vazio",IF($R366&lt;=10,"Baixo",IF($R366&lt;=25,"Médio","Alto")))</f>
        <v>Médio</v>
      </c>
      <c r="T366" s="42" t="str">
        <f>IF(AND($S366="Alto",$Q366="Sim"),"Negada","Aprovada")</f>
        <v>Aprovada</v>
      </c>
      <c r="U366" s="43">
        <v>28000</v>
      </c>
    </row>
    <row r="367" spans="1:21">
      <c r="A367" s="47" t="s">
        <v>1221</v>
      </c>
      <c r="B367" s="37" t="str">
        <f>IF(Base_Original!A367="","vazio",IF(Base_Original!A367="ATIVO","Ativo",IF(Base_Original!A367="INATIVO","Inativo",Base_Original!A367)))</f>
        <v>Inativo</v>
      </c>
      <c r="C367" s="37" t="str">
        <f>PROPER(Base_Original!B367)</f>
        <v>Yara Tallhart</v>
      </c>
      <c r="D367" s="38">
        <v>6400</v>
      </c>
      <c r="E367" s="39" t="str">
        <f>IF($D367="","Vazio",IF(LEN(SUBSTITUTE(SUBSTITUTE($D367&amp;"",".",""),"-",""))&lt;&gt;11,"Inválido","OK"))</f>
        <v>Inválido</v>
      </c>
      <c r="F367" s="39" t="str">
        <f>IF($D367="","Vazio",IF(COUNTIF($D$2:$D$369,$D367)&gt;1,"Duplicado","Único"))</f>
        <v>Duplicado</v>
      </c>
      <c r="G367" s="40" t="str">
        <f>IF(TRIM(Base_Original!D367)="","",SUBSTITUTE(TRIM(Base_Original!D367),"anos",""))</f>
        <v>57</v>
      </c>
      <c r="H367" s="50">
        <f>IF($J367="","Vazio",DATEDIF($J367,DATE(2026,9,10),"Y"))</f>
        <v>57</v>
      </c>
      <c r="I367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67" s="33">
        <v>25206</v>
      </c>
      <c r="K367" s="42" t="s">
        <v>25</v>
      </c>
      <c r="L367" s="42" t="str">
        <f>PROPER(Base_Original!G367)</f>
        <v>Terras Fluviais</v>
      </c>
      <c r="M367" s="43">
        <v>3400</v>
      </c>
      <c r="N367" s="43">
        <f>IF(ISNUMBER(Base_Original!I367),Base_Original!I367,IF(RIGHT(Base_Original!I367,7)=" moedas",VALUE(LEFT(Base_Original!I367,LEN(Base_Original!I367)-7)),Base_Original!I367))</f>
        <v>0</v>
      </c>
      <c r="O367" s="44" t="str">
        <f>IF(AND($N367&gt;50000,$Q367="Sim"),"Negada","Aprovada")</f>
        <v>Aprovada</v>
      </c>
      <c r="P367" s="45" t="str">
        <f>IF(AND($T367="Negada",$O367="Negada"),0,IF($B367="Ativo",$U367*8%,"0"))</f>
        <v>0</v>
      </c>
      <c r="Q367" s="46" t="str">
        <f>IF(OR(Base_Original!J367="Sim",Base_Original!J367="sim",Base_Original!J367="SIM"),"Sim",IF(OR(Base_Original!J367="Não",Base_Original!J367="não",Base_Original!J367="NÃO",Base_Original!J367="Nao"),"Não",IF(Base_Original!J367="","vazio",Base_Original!J367)))</f>
        <v>Não</v>
      </c>
      <c r="R367" s="46">
        <f>IF(ISNUMBER(Base_Original!K367),Base_Original!K367,IF(RIGHT(Base_Original!K367,9)=" batalhas",VALUE(LEFT(Base_Original!K367,LEN(Base_Original!K367)-9)),Base_Original!K367))</f>
        <v>20</v>
      </c>
      <c r="S367" s="42" t="str">
        <f>IF($R367="vazio","vazio",IF($R367&lt;=10,"Baixo",IF($R367&lt;=25,"Médio","Alto")))</f>
        <v>Médio</v>
      </c>
      <c r="T367" s="42" t="str">
        <f>IF(AND($S367="Alto",$Q367="Sim"),"Negada","Aprovada")</f>
        <v>Aprovada</v>
      </c>
      <c r="U367" s="43">
        <v>19500</v>
      </c>
    </row>
    <row r="368" spans="1:21">
      <c r="A368" s="47" t="s">
        <v>1222</v>
      </c>
      <c r="B368" s="37" t="str">
        <f>IF(Base_Original!A368="","vazio",IF(Base_Original!A368="ATIVO","Ativo",IF(Base_Original!A368="INATIVO","Inativo",Base_Original!A368)))</f>
        <v>Inativo</v>
      </c>
      <c r="C368" s="37" t="str">
        <f>PROPER(Base_Original!B368)</f>
        <v>Yara Tallhart</v>
      </c>
      <c r="D368" s="38">
        <v>6400</v>
      </c>
      <c r="E368" s="39" t="str">
        <f>IF($D368="","Vazio",IF(LEN(SUBSTITUTE(SUBSTITUTE($D368&amp;"",".",""),"-",""))&lt;&gt;11,"Inválido","OK"))</f>
        <v>Inválido</v>
      </c>
      <c r="F368" s="39" t="str">
        <f>IF($D368="","Vazio",IF(COUNTIF($D$2:$D$369,$D368)&gt;1,"Duplicado","Único"))</f>
        <v>Duplicado</v>
      </c>
      <c r="G368" s="40" t="str">
        <f>IF(TRIM(Base_Original!D368)="","",SUBSTITUTE(TRIM(Base_Original!D368),"anos",""))</f>
        <v>57</v>
      </c>
      <c r="H368" s="50">
        <f>IF($J368="","Vazio",DATEDIF($J368,DATE(2026,9,10),"Y"))</f>
        <v>57</v>
      </c>
      <c r="I368" s="51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68" s="33">
        <v>25206</v>
      </c>
      <c r="K368" s="42" t="s">
        <v>25</v>
      </c>
      <c r="L368" s="42" t="str">
        <f>PROPER(Base_Original!G368)</f>
        <v>Terras Fluviais</v>
      </c>
      <c r="M368" s="43">
        <v>3400</v>
      </c>
      <c r="N368" s="43">
        <f>IF(ISNUMBER(Base_Original!I368),Base_Original!I368,IF(RIGHT(Base_Original!I368,7)=" moedas",VALUE(LEFT(Base_Original!I368,LEN(Base_Original!I368)-7)),Base_Original!I368))</f>
        <v>23500</v>
      </c>
      <c r="O368" s="44" t="str">
        <f>IF(AND($N368&gt;50000,$Q368="Sim"),"Negada","Aprovada")</f>
        <v>Aprovada</v>
      </c>
      <c r="P368" s="45" t="str">
        <f>IF(AND($T368="Negada",$O368="Negada"),0,IF($B368="Ativo",$U368*8%,"0"))</f>
        <v>0</v>
      </c>
      <c r="Q368" s="46" t="str">
        <f>IF(OR(Base_Original!J368="Sim",Base_Original!J368="sim",Base_Original!J368="SIM"),"Sim",IF(OR(Base_Original!J368="Não",Base_Original!J368="não",Base_Original!J368="NÃO",Base_Original!J368="Nao"),"Não",IF(Base_Original!J368="","vazio",Base_Original!J368)))</f>
        <v>Não</v>
      </c>
      <c r="R368" s="46">
        <f>IF(ISNUMBER(Base_Original!K368),Base_Original!K368,IF(RIGHT(Base_Original!K368,9)=" batalhas",VALUE(LEFT(Base_Original!K368,LEN(Base_Original!K368)-9)),Base_Original!K368))</f>
        <v>20</v>
      </c>
      <c r="S368" s="42" t="str">
        <f>IF($R368="vazio","vazio",IF($R368&lt;=10,"Baixo",IF($R368&lt;=25,"Médio","Alto")))</f>
        <v>Médio</v>
      </c>
      <c r="T368" s="42" t="str">
        <f>IF(AND($S368="Alto",$Q368="Sim"),"Negada","Aprovada")</f>
        <v>Aprovada</v>
      </c>
      <c r="U368" s="43">
        <v>50500</v>
      </c>
    </row>
    <row r="369" spans="1:21">
      <c r="A369" s="47" t="s">
        <v>1223</v>
      </c>
      <c r="B369" s="37" t="str">
        <f>IF(Base_Original!A369="","vazio",IF(Base_Original!A369="ATIVO","Ativo",IF(Base_Original!A369="INATIVO","Inativo",Base_Original!A369)))</f>
        <v>Inativo</v>
      </c>
      <c r="C369" s="37" t="str">
        <f>PROPER(Base_Original!B369)</f>
        <v>Yara Targaryen</v>
      </c>
      <c r="D369" s="38" t="s">
        <v>764</v>
      </c>
      <c r="E369" s="39" t="str">
        <f>IF($D369="","Vazio",IF(LEN(SUBSTITUTE(SUBSTITUTE($D369&amp;"",".",""),"-",""))&lt;&gt;11,"Inválido","OK"))</f>
        <v>OK</v>
      </c>
      <c r="F369" s="39" t="str">
        <f>IF($D369="","Vazio",IF(COUNTIF($D$2:$D$369,$D369)&gt;1,"Duplicado","Único"))</f>
        <v>Único</v>
      </c>
      <c r="G369" s="40" t="str">
        <f>IF(TRIM(Base_Original!D369)="","",SUBSTITUTE(TRIM(Base_Original!D369),"anos",""))</f>
        <v>42</v>
      </c>
      <c r="H369" s="52">
        <f>IF($J369="","Vazio",DATEDIF($J369,DATE(2026,9,10),"Y"))</f>
        <v>42</v>
      </c>
      <c r="I369" s="53" t="str">
        <f>IF(OR(Tabela2[[#This Row],[Idade_Padronizada]]="",Tabela2[[#This Row],[Idade_Validação]]=""),"Vazio",IF(VALUE(Tabela2[[#This Row],[Idade_Padronizada]]&amp;"")=VALUE(Tabela2[[#This Row],[Idade_Validação]]&amp;""),"OK","Diferente"))</f>
        <v>OK</v>
      </c>
      <c r="J369" s="33">
        <v>30810</v>
      </c>
      <c r="K369" s="42" t="s">
        <v>44</v>
      </c>
      <c r="L369" s="42" t="str">
        <f>PROPER(Base_Original!G369)</f>
        <v>Ilhas De Ferro</v>
      </c>
      <c r="M369" s="43">
        <v>18200</v>
      </c>
      <c r="N369" s="43">
        <f>IF(ISNUMBER(Base_Original!I369),Base_Original!I369,IF(RIGHT(Base_Original!I369,7)=" moedas",VALUE(LEFT(Base_Original!I369,LEN(Base_Original!I369)-7)),Base_Original!I369))</f>
        <v>31000</v>
      </c>
      <c r="O369" s="44" t="str">
        <f>IF(AND($N369&gt;50000,$Q369="Sim"),"Negada","Aprovada")</f>
        <v>Aprovada</v>
      </c>
      <c r="P369" s="45" t="str">
        <f>IF(AND($T369="Negada",$O369="Negada"),0,IF($B369="Ativo",$U369*8%,"0"))</f>
        <v>0</v>
      </c>
      <c r="Q369" s="46" t="str">
        <f>IF(OR(Base_Original!J369="Sim",Base_Original!J369="sim",Base_Original!J369="SIM"),"Sim",IF(OR(Base_Original!J369="Não",Base_Original!J369="não",Base_Original!J369="NÃO",Base_Original!J369="Nao"),"Não",IF(Base_Original!J369="","vazio",Base_Original!J369)))</f>
        <v>Não</v>
      </c>
      <c r="R369" s="46">
        <f>IF(ISNUMBER(Base_Original!K369),Base_Original!K369,IF(RIGHT(Base_Original!K369,9)=" batalhas",VALUE(LEFT(Base_Original!K369,LEN(Base_Original!K369)-9)),Base_Original!K369))</f>
        <v>19</v>
      </c>
      <c r="S369" s="42" t="str">
        <f>IF($R369="vazio","vazio",IF($R369&lt;=10,"Baixo",IF($R369&lt;=25,"Médio","Alto")))</f>
        <v>Médio</v>
      </c>
      <c r="T369" s="42" t="str">
        <f>IF(AND($S369="Alto",$Q369="Sim"),"Negada","Aprovada")</f>
        <v>Aprovada</v>
      </c>
      <c r="U369" s="43">
        <v>63500</v>
      </c>
    </row>
    <row r="370" spans="1:21">
      <c r="N370" s="6"/>
      <c r="O370" s="34"/>
    </row>
  </sheetData>
  <conditionalFormatting sqref="T1:T1048576">
    <cfRule type="containsText" dxfId="26" priority="6" operator="containsText" text="Aprovada">
      <formula>NOT(ISERROR(SEARCH("Aprovada",T1)))</formula>
    </cfRule>
  </conditionalFormatting>
  <conditionalFormatting sqref="T1:T1048576">
    <cfRule type="containsText" dxfId="25" priority="4" operator="containsText" text="Negada">
      <formula>NOT(ISERROR(SEARCH("Negada",T1)))</formula>
    </cfRule>
  </conditionalFormatting>
  <conditionalFormatting sqref="S1:S369">
    <cfRule type="containsText" dxfId="24" priority="3" operator="containsText" text="Alto">
      <formula>NOT(ISERROR(SEARCH("Alto",S1)))</formula>
    </cfRule>
  </conditionalFormatting>
  <conditionalFormatting sqref="S1:S369">
    <cfRule type="containsText" dxfId="23" priority="2" operator="containsText" text="Médio">
      <formula>NOT(ISERROR(SEARCH("Médio",S1)))</formula>
    </cfRule>
  </conditionalFormatting>
  <conditionalFormatting sqref="S1:S369">
    <cfRule type="containsText" dxfId="22" priority="1" operator="containsText" text="Baixo">
      <formula>NOT(ISERROR(SEARCH("Baixo",S1)))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2026-09-08T18:37:08Z</dcterms:created>
  <dcterms:modified xsi:type="dcterms:W3CDTF">2026-09-10T22:27:11Z</dcterms:modified>
  <cp:category/>
  <cp:contentStatus/>
</cp:coreProperties>
</file>