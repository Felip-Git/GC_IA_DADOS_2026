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9D7B5019-FFCF-4A8D-8E32-05BBED577CE5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Exercicio 1" sheetId="2" r:id="rId1"/>
    <sheet name="Exercicio 2" sheetId="3" r:id="rId2"/>
    <sheet name="Exercicio 3" sheetId="4" r:id="rId3"/>
    <sheet name="Exercicio 4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G4" i="4"/>
  <c r="G6" i="4"/>
  <c r="G7" i="4"/>
  <c r="F4" i="4"/>
  <c r="F5" i="4"/>
  <c r="G5" i="4" s="1"/>
  <c r="F6" i="4"/>
  <c r="F7" i="4"/>
  <c r="F3" i="4"/>
  <c r="G3" i="4" s="1"/>
  <c r="D4" i="3"/>
  <c r="D5" i="3"/>
  <c r="D6" i="3"/>
  <c r="D7" i="3"/>
  <c r="D8" i="3"/>
  <c r="D3" i="3"/>
  <c r="E3" i="2"/>
  <c r="E4" i="2"/>
  <c r="E5" i="2"/>
  <c r="E6" i="2"/>
</calcChain>
</file>

<file path=xl/sharedStrings.xml><?xml version="1.0" encoding="utf-8"?>
<sst xmlns="http://schemas.openxmlformats.org/spreadsheetml/2006/main" count="71" uniqueCount="60">
  <si>
    <t>Tabela de Produtos da Cafeteira</t>
  </si>
  <si>
    <t>ID_Produto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</si>
  <si>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</si>
  <si>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</si>
  <si>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</si>
  <si>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</si>
  <si>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</si>
  <si>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</si>
  <si>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</si>
  <si>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</si>
  <si>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</si>
  <si>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</si>
  <si>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</t>
  </si>
  <si>
    <t>Funcionário</t>
  </si>
  <si>
    <t>Produto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</si>
  <si>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</si>
  <si>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</si>
  <si>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</si>
  <si>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</si>
  <si>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</si>
  <si>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</si>
  <si>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</si>
  <si>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</si>
  <si>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</si>
  <si>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</si>
  <si>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</si>
  <si>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</si>
  <si>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</si>
  <si>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</si>
  <si>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</si>
  <si>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</si>
  <si>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do Aluno</t>
  </si>
  <si>
    <t>Nota 1 Trimestre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</si>
  <si>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</si>
  <si>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</si>
  <si>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</si>
  <si>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</si>
  <si>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</si>
  <si>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</si>
  <si>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</si>
  <si>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</si>
  <si>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</si>
  <si>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</si>
  <si>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</si>
  <si>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</si>
  <si>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>Curso Técnico</t>
  </si>
  <si>
    <t>Anos de experiencia na area</t>
  </si>
  <si>
    <t>Situacao</t>
  </si>
  <si>
    <t>Alfa Romeu Julia</t>
  </si>
  <si>
    <t>Não</t>
  </si>
  <si>
    <t>Sim</t>
  </si>
  <si>
    <t>Fusclaudia de Oliveira</t>
  </si>
  <si>
    <t>Unotavio dos Santos</t>
  </si>
  <si>
    <t>Nissan Silvia</t>
  </si>
  <si>
    <t>Ferrari Enzo</t>
  </si>
  <si>
    <t>Requisitos para ser contratado</t>
  </si>
  <si>
    <t>Ter idade maior ou igual a 18 anos</t>
  </si>
  <si>
    <t>Ter ensino médio completo</t>
  </si>
  <si>
    <t>Ter curso de vendedor</t>
  </si>
  <si>
    <t>Ter no mínimo 3 anos na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</si>
</sst>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0.0"/>
  </numFmts>
  <fonts count="6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0"/>
      <name val="Arial"/>
    </font>
    <font>
      <sz val="14"/>
      <color theme="0"/>
      <name val="Arial Black"/>
    </font>
    <font>
      <sz val="16"/>
      <color theme="0"/>
      <name val="Arial Black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/>
    <xf numFmtId="0" fontId="2" fillId="2" borderId="0" xfId="0" applyFont="1" applyFill="1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5" borderId="0" xfId="0" applyFill="1"/>
    <xf numFmtId="165" fontId="0" fillId="5" borderId="0" xfId="0" applyNumberFormat="1" applyFill="1" applyAlignment="1">
      <alignment horizontal="center"/>
    </xf>
    <xf numFmtId="165" fontId="0" fillId="5" borderId="0" xfId="0" applyNumberFormat="1" applyFill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3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25">
    <dxf>
      <numFmt numFmtId="0" formatCode="General"/>
    </dxf>
    <dxf>
      <alignment horizontal="center"/>
    </dxf>
    <dxf>
      <font>
        <color rgb="FFFF000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numFmt numFmtId="165" formatCode="0.0"/>
    </dxf>
    <dxf>
      <numFmt numFmtId="165" formatCode="0.0"/>
      <alignment horizontal="center"/>
    </dxf>
    <dxf>
      <numFmt numFmtId="165" formatCode="0.0"/>
      <alignment horizontal="center"/>
    </dxf>
    <dxf>
      <numFmt numFmtId="165" formatCode="0.0"/>
      <alignment horizontal="center"/>
    </dxf>
    <dxf>
      <numFmt numFmtId="165" formatCode="0.0"/>
      <alignment horizontal="center"/>
    </dxf>
    <dxf>
      <font>
        <color rgb="FFFF000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rgb="FFFF0000"/>
      </font>
      <fill>
        <patternFill patternType="solid">
          <bgColor theme="4" tint="0.79998168889431442"/>
        </patternFill>
      </fill>
    </dxf>
    <dxf>
      <font>
        <color theme="9"/>
      </font>
      <fill>
        <patternFill patternType="solid">
          <bgColor theme="4" tint="0.79998168889431442"/>
        </patternFill>
      </fill>
    </dxf>
    <dxf>
      <font>
        <color rgb="FFFF0000"/>
      </font>
      <fill>
        <patternFill patternType="solid">
          <bgColor theme="4" tint="0.79998168889431442"/>
        </patternFill>
      </fill>
    </dxf>
    <dxf>
      <font>
        <color theme="9"/>
      </font>
      <fill>
        <patternFill patternType="solid">
          <bgColor theme="4" tint="0.79998168889431442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4" tint="0.79998168889431442"/>
        </patternFill>
      </fill>
    </dxf>
    <dxf>
      <font>
        <color theme="9"/>
      </font>
      <fill>
        <patternFill patternType="solid">
          <bgColor theme="4" tint="0.79998168889431442"/>
        </patternFill>
      </fill>
    </dxf>
    <dxf>
      <font>
        <color theme="9"/>
      </font>
      <fill>
        <patternFill patternType="solid">
          <bgColor theme="4" tint="0.79998168889431442"/>
        </patternFill>
      </fill>
    </dxf>
    <dxf>
      <font>
        <color rgb="FFFF0000"/>
      </font>
      <fill>
        <patternFill patternType="solid">
          <bgColor theme="4" tint="0.79998168889431442"/>
        </patternFill>
      </fill>
    </dxf>
    <dxf>
      <numFmt numFmtId="164" formatCode="_-[$R$-416]\ * #,##0.00_-;\-[$R$-416]\ * #,##0.00_-;_-[$R$-416]\ * &quot;-&quot;??_-;_-@_-"/>
    </dxf>
    <dxf>
      <font>
        <sz val="10"/>
        <color theme="0"/>
        <name val="Arial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0A9FA3-2DE9-41F8-A2CD-4486F30BC01B}" name="Tabela3" displayName="Tabela3" ref="A2:E6" totalsRowShown="0" headerRowDxfId="24">
  <autoFilter ref="A2:E6" xr:uid="{E30A9FA3-2DE9-41F8-A2CD-4486F30BC01B}"/>
  <tableColumns count="5">
    <tableColumn id="1" xr3:uid="{35867D85-028D-406A-8744-E8AC19EF0C50}" name="ID_Produto"/>
    <tableColumn id="2" xr3:uid="{74AE25D4-3C95-4995-86F1-52E11E953775}" name="Tipo_de_Cafe"/>
    <tableColumn id="3" xr3:uid="{8343D150-2F6E-4074-B4BE-57726C658C3B}" name="Tamanho"/>
    <tableColumn id="4" xr3:uid="{55499BB8-6A9C-40B4-9A38-5E0FDE5F11EF}" name="Valor_Unitario" dataDxfId="23"/>
    <tableColumn id="5" xr3:uid="{FA9E5D46-01B3-442C-A6F4-41E98517369B}" name="Quantidade">
      <calculatedColumnFormula>Tabela3[[#This Row],[ID_Produto]] * 10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18533D-E728-422D-92A5-D2C535C6E41F}" name="Tabela2" displayName="Tabela2" ref="A2:D8" totalsRowShown="0">
  <autoFilter ref="A2:D8" xr:uid="{0318533D-E728-422D-92A5-D2C535C6E41F}"/>
  <tableColumns count="4">
    <tableColumn id="1" xr3:uid="{C0431DF7-5041-4AC0-BA11-CD2CDCA9AE7E}" name="Funcionário"/>
    <tableColumn id="2" xr3:uid="{DBD5B1C5-DA83-4243-9941-2714281295C6}" name="Produto"/>
    <tableColumn id="3" xr3:uid="{A376E240-CEC3-4E0B-A3D2-64638787B2EE}" name="Vendas"/>
    <tableColumn id="4" xr3:uid="{676DA4E5-EC62-44C0-A5C9-0FD9F6F0ECA7}" name="Resultado">
      <calculatedColumnFormula>IF(C3&gt;5, "Otimo", IF(C3&lt;5, "Pessimo", "Regular"))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57FEC-E6DA-4C4A-8DE5-D007D5001528}" name="Tabela1" displayName="Tabela1" ref="A2:G7" totalsRowShown="0">
  <autoFilter ref="A2:G7" xr:uid="{83157FEC-E6DA-4C4A-8DE5-D007D5001528}"/>
  <tableColumns count="7">
    <tableColumn id="1" xr3:uid="{187F7721-3602-4A70-B228-6FA24D71AA45}" name="RA"/>
    <tableColumn id="2" xr3:uid="{7B8D35D3-246F-40F5-BCDA-41FA709CB8F6}" name="Nome do Aluno"/>
    <tableColumn id="3" xr3:uid="{AC6CA1DF-E4E1-42AE-B1AC-D9B64A03A99C}" name="Nota 1 Trimestre" dataDxfId="8"/>
    <tableColumn id="4" xr3:uid="{5395C3F2-9D74-47CD-AC56-073FD9B572F0}" name="Nota 2 Trimestre" dataDxfId="7"/>
    <tableColumn id="5" xr3:uid="{446A51AD-1F24-4D24-BEED-4BCCFD5058C9}" name="Nota 3 Trimestre" dataDxfId="6"/>
    <tableColumn id="6" xr3:uid="{20F87A7B-82E1-4271-9294-B1FC77F7735F}" name="Média Final" dataDxfId="5">
      <calculatedColumnFormula>AVERAGE(C3:E3)</calculatedColumnFormula>
    </tableColumn>
    <tableColumn id="7" xr3:uid="{37B53CC2-A63E-43B5-BF07-EE557D9D0A87}" name="Resultado" dataDxfId="4">
      <calculatedColumnFormula>IF(Tabela1[[#This Row],[Média Final]]&gt;= 6, "Aprovado","Recuperacao")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8F5BA2-C9DE-4598-A9D7-D155F9E2AE31}" name="Tabela4" displayName="Tabela4" ref="A2:F7" totalsRowShown="0">
  <autoFilter ref="A2:F7" xr:uid="{1D8F5BA2-C9DE-4598-A9D7-D155F9E2AE31}"/>
  <tableColumns count="6">
    <tableColumn id="1" xr3:uid="{43C4F593-BA66-45F2-94F2-62EB28C002E9}" name="Nome"/>
    <tableColumn id="2" xr3:uid="{143D8826-D189-4DE8-A217-D07E56A2A678}" name="Idade"/>
    <tableColumn id="3" xr3:uid="{C0E653A7-B285-4546-94F9-5CAED747DD80}" name="Ensino Médio"/>
    <tableColumn id="4" xr3:uid="{A4C735CA-5200-48B0-A13E-DF1187B23755}" name="Curso Técnico"/>
    <tableColumn id="5" xr3:uid="{DF325D2A-06FB-4D1D-9CC1-70EE5DB1AA55}" name="Anos de experiencia na area" dataDxfId="1"/>
    <tableColumn id="6" xr3:uid="{545AB3C6-60DC-464A-AB5F-BC10DD08E926}" name="Situacao" dataDxfId="0">
      <calculatedColumnFormula>IF(AND(Tabela4[[#This Row],[Idade]]&gt;=18, Tabela4[[#This Row],[Ensino Médio]]="Sim", Tabela4[[#This Row],[Curso Técnico]]="Sim", Tabela4[[#This Row],[Anos de experiencia na area]]&gt;=3), "Apto", "Não Apto")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41D0-CBFD-4498-B866-DBE6A96D6F1C}">
  <dimension ref="A1:F6"/>
  <sheetViews>
    <sheetView workbookViewId="0">
      <selection activeCell="F11" sqref="F11"/>
    </sheetView>
  </sheetViews>
  <sheetFormatPr defaultRowHeight="15"/>
  <cols>
    <col min="1" max="1" width="13.7109375" bestFit="1" customWidth="1"/>
    <col min="2" max="2" width="15.7109375" bestFit="1" customWidth="1"/>
    <col min="3" max="3" width="11.85546875" bestFit="1" customWidth="1"/>
    <col min="4" max="4" width="16.7109375" bestFit="1" customWidth="1"/>
    <col min="5" max="5" width="14" bestFit="1" customWidth="1"/>
  </cols>
  <sheetData>
    <row r="1" spans="1:6" ht="27.75" customHeight="1">
      <c r="A1" s="14" t="s">
        <v>0</v>
      </c>
      <c r="B1" s="14"/>
      <c r="C1" s="14"/>
      <c r="D1" s="14"/>
      <c r="E1" s="14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6">
      <c r="A3">
        <v>2</v>
      </c>
      <c r="B3" t="s">
        <v>6</v>
      </c>
      <c r="C3" t="s">
        <v>7</v>
      </c>
      <c r="D3" s="1">
        <v>28.79</v>
      </c>
      <c r="E3">
        <f>Tabela3[[#This Row],[ID_Produto]] * 10</f>
        <v>20</v>
      </c>
    </row>
    <row r="4" spans="1:6">
      <c r="A4">
        <v>1</v>
      </c>
      <c r="B4" t="s">
        <v>6</v>
      </c>
      <c r="C4" t="s">
        <v>7</v>
      </c>
      <c r="D4" s="1">
        <v>3.89</v>
      </c>
      <c r="E4">
        <f>Tabela3[[#This Row],[ID_Produto]] * 10</f>
        <v>10</v>
      </c>
    </row>
    <row r="5" spans="1:6">
      <c r="A5">
        <v>3</v>
      </c>
      <c r="B5" t="s">
        <v>8</v>
      </c>
      <c r="C5" t="s">
        <v>9</v>
      </c>
      <c r="D5" s="1">
        <v>3.38</v>
      </c>
      <c r="E5">
        <f>Tabela3[[#This Row],[ID_Produto]] * 10</f>
        <v>30</v>
      </c>
    </row>
    <row r="6" spans="1:6">
      <c r="A6">
        <v>4</v>
      </c>
      <c r="B6" t="s">
        <v>10</v>
      </c>
      <c r="C6" t="s">
        <v>11</v>
      </c>
      <c r="D6" s="1">
        <v>13.43</v>
      </c>
      <c r="E6">
        <f>Tabela3[[#This Row],[ID_Produto]] * 10</f>
        <v>40</v>
      </c>
    </row>
  </sheetData>
  <mergeCells count="1">
    <mergeCell ref="A1:E1"/>
  </mergeCells>
  <pageMargins left="0.25" right="0.25" top="0.75" bottom="0.75" header="0.3" footer="0.3"/>
  <pageSetup paperSize="9" scale="150" fitToWidth="0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7E6D-A2EF-4EEA-9740-4038187F01FF}">
  <dimension ref="A1:D8"/>
  <sheetViews>
    <sheetView workbookViewId="0">
      <selection activeCell="M7" sqref="M7"/>
    </sheetView>
  </sheetViews>
  <sheetFormatPr defaultRowHeight="15"/>
  <cols>
    <col min="1" max="1" width="24.28515625" bestFit="1" customWidth="1"/>
    <col min="2" max="2" width="10.85546875" bestFit="1" customWidth="1"/>
    <col min="3" max="3" width="10" bestFit="1" customWidth="1"/>
    <col min="4" max="4" width="12.28515625" bestFit="1" customWidth="1"/>
  </cols>
  <sheetData>
    <row r="1" spans="1:4" ht="24" customHeight="1">
      <c r="A1" s="15" t="s">
        <v>12</v>
      </c>
      <c r="B1" s="15"/>
      <c r="C1" s="15"/>
      <c r="D1" s="15"/>
    </row>
    <row r="2" spans="1:4">
      <c r="A2" t="s">
        <v>13</v>
      </c>
      <c r="B2" t="s">
        <v>14</v>
      </c>
      <c r="C2" t="s">
        <v>15</v>
      </c>
      <c r="D2" t="s">
        <v>16</v>
      </c>
    </row>
    <row r="3" spans="1:4">
      <c r="A3" t="s">
        <v>17</v>
      </c>
      <c r="B3" t="s">
        <v>18</v>
      </c>
      <c r="C3">
        <v>8</v>
      </c>
      <c r="D3" t="str">
        <f>IF(C3&gt;5, "Otimo", IF(C3&lt;5, "Pessimo", "Regular"))</f>
        <v>Otimo</v>
      </c>
    </row>
    <row r="4" spans="1:4">
      <c r="A4" t="s">
        <v>19</v>
      </c>
      <c r="B4" t="s">
        <v>20</v>
      </c>
      <c r="C4">
        <v>5</v>
      </c>
      <c r="D4" t="str">
        <f t="shared" ref="D4:D8" si="0">IF(C4&gt;5, "Otimo", IF(C4&lt;5, "Pessimo", "Regular"))</f>
        <v>Regular</v>
      </c>
    </row>
    <row r="5" spans="1:4">
      <c r="A5" t="s">
        <v>21</v>
      </c>
      <c r="B5" t="s">
        <v>22</v>
      </c>
      <c r="C5">
        <v>9</v>
      </c>
      <c r="D5" t="str">
        <f t="shared" si="0"/>
        <v>Otimo</v>
      </c>
    </row>
    <row r="6" spans="1:4">
      <c r="A6" t="s">
        <v>23</v>
      </c>
      <c r="B6" t="s">
        <v>24</v>
      </c>
      <c r="C6">
        <v>4</v>
      </c>
      <c r="D6" t="str">
        <f t="shared" si="0"/>
        <v>Pessimo</v>
      </c>
    </row>
    <row r="7" spans="1:4">
      <c r="A7" t="s">
        <v>25</v>
      </c>
      <c r="B7" t="s">
        <v>26</v>
      </c>
      <c r="C7">
        <v>6</v>
      </c>
      <c r="D7" t="str">
        <f t="shared" si="0"/>
        <v>Otimo</v>
      </c>
    </row>
    <row r="8" spans="1:4">
      <c r="A8" t="s">
        <v>27</v>
      </c>
      <c r="B8" t="s">
        <v>28</v>
      </c>
      <c r="C8">
        <v>3</v>
      </c>
      <c r="D8" t="str">
        <f t="shared" si="0"/>
        <v>Pessimo</v>
      </c>
    </row>
  </sheetData>
  <mergeCells count="1">
    <mergeCell ref="A1:D1"/>
  </mergeCells>
  <pageMargins left="0.7" right="0.7" top="0.75" bottom="0.75" header="0.3" footer="0.3"/>
  <pageSetup paperSize="9" scale="130" fitToWidth="0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E224-E37B-4ABA-A135-4D89EE1F4789}">
  <dimension ref="A1:G7"/>
  <sheetViews>
    <sheetView workbookViewId="0">
      <selection activeCell="B12" sqref="B12"/>
    </sheetView>
  </sheetViews>
  <sheetFormatPr defaultRowHeight="15"/>
  <cols>
    <col min="1" max="1" width="15" bestFit="1" customWidth="1"/>
    <col min="2" max="2" width="17.5703125" bestFit="1" customWidth="1"/>
    <col min="3" max="4" width="18.5703125" bestFit="1" customWidth="1"/>
    <col min="5" max="5" width="18.5703125" customWidth="1"/>
    <col min="6" max="6" width="13.85546875" customWidth="1"/>
    <col min="7" max="7" width="13.5703125" customWidth="1"/>
  </cols>
  <sheetData>
    <row r="1" spans="1:7" ht="23.25" customHeight="1">
      <c r="A1" s="16" t="s">
        <v>29</v>
      </c>
      <c r="B1" s="16"/>
      <c r="C1" s="16"/>
      <c r="D1" s="16"/>
      <c r="E1" s="16"/>
      <c r="F1" s="16"/>
      <c r="G1" s="16"/>
    </row>
    <row r="2" spans="1:7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16</v>
      </c>
    </row>
    <row r="3" spans="1:7">
      <c r="A3" s="7">
        <v>2001</v>
      </c>
      <c r="B3" s="7" t="s">
        <v>36</v>
      </c>
      <c r="C3" s="6">
        <v>5</v>
      </c>
      <c r="D3" s="8">
        <v>6</v>
      </c>
      <c r="E3" s="8">
        <v>8</v>
      </c>
      <c r="F3" s="8">
        <f>AVERAGE(C3:E3)</f>
        <v>6.333333333333333</v>
      </c>
      <c r="G3" s="9" t="str">
        <f>IF(Tabela1[[#This Row],[Média Final]]&gt;= 6, "Aprovado","Recuperacao")</f>
        <v>Aprovado</v>
      </c>
    </row>
    <row r="4" spans="1:7">
      <c r="A4">
        <v>2002</v>
      </c>
      <c r="B4" t="s">
        <v>37</v>
      </c>
      <c r="C4" s="6">
        <v>10</v>
      </c>
      <c r="D4" s="6">
        <v>7</v>
      </c>
      <c r="E4" s="6">
        <v>8</v>
      </c>
      <c r="F4" s="6">
        <f t="shared" ref="F4:F7" si="0">AVERAGE(C4:E4)</f>
        <v>8.3333333333333339</v>
      </c>
      <c r="G4" s="4" t="str">
        <f>IF(Tabela1[[#This Row],[Média Final]]&gt;= 6, "Aprovado","Recuperacao")</f>
        <v>Aprovado</v>
      </c>
    </row>
    <row r="5" spans="1:7">
      <c r="A5">
        <v>2003</v>
      </c>
      <c r="B5" t="s">
        <v>38</v>
      </c>
      <c r="C5" s="6">
        <v>5</v>
      </c>
      <c r="D5" s="6">
        <v>2</v>
      </c>
      <c r="E5" s="6">
        <v>8</v>
      </c>
      <c r="F5" s="6">
        <f t="shared" si="0"/>
        <v>5</v>
      </c>
      <c r="G5" s="4" t="str">
        <f>IF(Tabela1[[#This Row],[Média Final]]&gt;= 6, "Aprovado","Recuperacao")</f>
        <v>Recuperacao</v>
      </c>
    </row>
    <row r="6" spans="1:7">
      <c r="A6">
        <v>2004</v>
      </c>
      <c r="B6" t="s">
        <v>39</v>
      </c>
      <c r="C6" s="6">
        <v>2</v>
      </c>
      <c r="D6" s="6">
        <v>1</v>
      </c>
      <c r="E6" s="6">
        <v>3</v>
      </c>
      <c r="F6" s="6">
        <f t="shared" si="0"/>
        <v>2</v>
      </c>
      <c r="G6" s="4" t="str">
        <f>IF(Tabela1[[#This Row],[Média Final]]&gt;= 6, "Aprovado","Recuperacao")</f>
        <v>Recuperacao</v>
      </c>
    </row>
    <row r="7" spans="1:7">
      <c r="A7">
        <v>2005</v>
      </c>
      <c r="B7" t="s">
        <v>40</v>
      </c>
      <c r="C7" s="6">
        <v>4</v>
      </c>
      <c r="D7" s="6">
        <v>7</v>
      </c>
      <c r="E7" s="6">
        <v>8</v>
      </c>
      <c r="F7" s="6">
        <f t="shared" si="0"/>
        <v>6.333333333333333</v>
      </c>
      <c r="G7" s="9" t="str">
        <f>IF(Tabela1[[#This Row],[Média Final]]&gt;= 6, "Aprovado","Recuperacao")</f>
        <v>Aprovado</v>
      </c>
    </row>
  </sheetData>
  <mergeCells count="1">
    <mergeCell ref="A1:G1"/>
  </mergeCells>
  <conditionalFormatting sqref="C5:F5">
    <cfRule type="cellIs" dxfId="22" priority="10" operator="lessThan">
      <formula>6</formula>
    </cfRule>
    <cfRule type="cellIs" dxfId="21" priority="15" operator="greaterThanOrEqual">
      <formula>6</formula>
    </cfRule>
  </conditionalFormatting>
  <conditionalFormatting sqref="C3:F3">
    <cfRule type="cellIs" dxfId="20" priority="12" operator="greaterThanOrEqual">
      <formula>6</formula>
    </cfRule>
    <cfRule type="cellIs" dxfId="19" priority="13" operator="greaterThanOrEqual">
      <formula>6</formula>
    </cfRule>
  </conditionalFormatting>
  <conditionalFormatting sqref="C4:F4">
    <cfRule type="cellIs" dxfId="18" priority="11" operator="lessThan">
      <formula>6</formula>
    </cfRule>
    <cfRule type="cellIs" dxfId="17" priority="14" operator="greaterThanOrEqual">
      <formula>6</formula>
    </cfRule>
  </conditionalFormatting>
  <conditionalFormatting sqref="C6:F6">
    <cfRule type="cellIs" dxfId="16" priority="8" operator="greaterThanOrEqual">
      <formula>6</formula>
    </cfRule>
    <cfRule type="cellIs" dxfId="15" priority="9" operator="lessThan">
      <formula>6</formula>
    </cfRule>
  </conditionalFormatting>
  <conditionalFormatting sqref="C7:F7">
    <cfRule type="cellIs" dxfId="14" priority="7" operator="greaterThanOrEqual">
      <formula>6</formula>
    </cfRule>
  </conditionalFormatting>
  <conditionalFormatting sqref="C7:F7">
    <cfRule type="cellIs" dxfId="13" priority="6" operator="lessThan">
      <formula>6</formula>
    </cfRule>
  </conditionalFormatting>
  <conditionalFormatting sqref="G3 G5 G7">
    <cfRule type="containsText" dxfId="12" priority="5" operator="containsText" text="Aprovado">
      <formula>NOT(ISERROR(SEARCH("Aprovado",G3)))</formula>
    </cfRule>
  </conditionalFormatting>
  <conditionalFormatting sqref="G3 G5 G7">
    <cfRule type="containsText" dxfId="11" priority="4" operator="containsText" text="Recuperacao">
      <formula>NOT(ISERROR(SEARCH("Recuperacao",G3)))</formula>
    </cfRule>
  </conditionalFormatting>
  <conditionalFormatting sqref="G4 G6">
    <cfRule type="containsText" dxfId="10" priority="2" operator="containsText" text="Aprovado">
      <formula>NOT(ISERROR(SEARCH("Aprovado",G4)))</formula>
    </cfRule>
  </conditionalFormatting>
  <conditionalFormatting sqref="G4 G6">
    <cfRule type="containsText" dxfId="9" priority="1" operator="containsText" text="Recuperacao">
      <formula>NOT(ISERROR(SEARCH("Recuperacao",G4)))</formula>
    </cfRule>
  </conditionalFormatting>
  <pageMargins left="0.7" right="0.7" top="0.75" bottom="0.75" header="0.3" footer="0.3"/>
  <pageSetup paperSize="9" fitToWidth="0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C424-17D7-4F78-8EF7-362150EAF519}">
  <dimension ref="A1:F15"/>
  <sheetViews>
    <sheetView tabSelected="1" workbookViewId="0">
      <selection activeCell="E9" sqref="E9"/>
    </sheetView>
  </sheetViews>
  <sheetFormatPr defaultRowHeight="15"/>
  <cols>
    <col min="1" max="1" width="20.42578125" bestFit="1" customWidth="1"/>
    <col min="3" max="4" width="15.7109375" bestFit="1" customWidth="1"/>
    <col min="5" max="5" width="28.7109375" customWidth="1"/>
    <col min="6" max="6" width="11" bestFit="1" customWidth="1"/>
  </cols>
  <sheetData>
    <row r="1" spans="1:6" ht="24.75" customHeight="1">
      <c r="A1" s="12" t="s">
        <v>41</v>
      </c>
      <c r="B1" s="12"/>
      <c r="C1" s="12"/>
      <c r="D1" s="12"/>
      <c r="E1" s="12"/>
      <c r="F1" s="12"/>
    </row>
    <row r="2" spans="1:6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>
      <c r="A3" t="s">
        <v>48</v>
      </c>
      <c r="B3">
        <v>17</v>
      </c>
      <c r="C3" t="s">
        <v>49</v>
      </c>
      <c r="D3" t="s">
        <v>50</v>
      </c>
      <c r="E3" s="5">
        <v>1</v>
      </c>
      <c r="F3" t="str">
        <f>IF(AND(Tabela4[[#This Row],[Idade]]&gt;=18, Tabela4[[#This Row],[Ensino Médio]]="Sim", Tabela4[[#This Row],[Curso Técnico]]="Sim", Tabela4[[#This Row],[Anos de experiencia na area]]&gt;=3), "Apto", "Não Apto")</f>
        <v>Não Apto</v>
      </c>
    </row>
    <row r="4" spans="1:6">
      <c r="A4" t="s">
        <v>51</v>
      </c>
      <c r="B4">
        <v>24</v>
      </c>
      <c r="C4" t="s">
        <v>50</v>
      </c>
      <c r="D4" t="s">
        <v>50</v>
      </c>
      <c r="E4" s="5">
        <v>3</v>
      </c>
      <c r="F4" t="str">
        <f>IF(AND(Tabela4[[#This Row],[Idade]]&gt;=18, Tabela4[[#This Row],[Ensino Médio]]="Sim", Tabela4[[#This Row],[Curso Técnico]]="Sim", Tabela4[[#This Row],[Anos de experiencia na area]]&gt;=3), "Apto", "Não Apto")</f>
        <v>Apto</v>
      </c>
    </row>
    <row r="5" spans="1:6">
      <c r="A5" t="s">
        <v>52</v>
      </c>
      <c r="B5">
        <v>28</v>
      </c>
      <c r="C5" t="s">
        <v>50</v>
      </c>
      <c r="D5" t="s">
        <v>50</v>
      </c>
      <c r="E5" s="5">
        <v>4</v>
      </c>
      <c r="F5" t="str">
        <f>IF(AND(Tabela4[[#This Row],[Idade]]&gt;=18, Tabela4[[#This Row],[Ensino Médio]]="Sim", Tabela4[[#This Row],[Curso Técnico]]="Sim", Tabela4[[#This Row],[Anos de experiencia na area]]&gt;=3), "Apto", "Não Apto")</f>
        <v>Apto</v>
      </c>
    </row>
    <row r="6" spans="1:6">
      <c r="A6" t="s">
        <v>53</v>
      </c>
      <c r="B6">
        <v>18</v>
      </c>
      <c r="C6" t="s">
        <v>50</v>
      </c>
      <c r="D6" t="s">
        <v>49</v>
      </c>
      <c r="E6" s="5">
        <v>1</v>
      </c>
      <c r="F6" t="str">
        <f>IF(AND(Tabela4[[#This Row],[Idade]]&gt;=18, Tabela4[[#This Row],[Ensino Médio]]="Sim", Tabela4[[#This Row],[Curso Técnico]]="Sim", Tabela4[[#This Row],[Anos de experiencia na area]]&gt;=3), "Apto", "Não Apto")</f>
        <v>Não Apto</v>
      </c>
    </row>
    <row r="7" spans="1:6">
      <c r="A7" t="s">
        <v>54</v>
      </c>
      <c r="B7">
        <v>22</v>
      </c>
      <c r="C7" t="s">
        <v>50</v>
      </c>
      <c r="D7" t="s">
        <v>50</v>
      </c>
      <c r="E7" s="5">
        <v>2</v>
      </c>
      <c r="F7" t="str">
        <f>IF(AND(Tabela4[[#This Row],[Idade]]&gt;=18, Tabela4[[#This Row],[Ensino Médio]]="Sim", Tabela4[[#This Row],[Curso Técnico]]="Sim", Tabela4[[#This Row],[Anos de experiencia na area]]&gt;=3), "Apto", "Não Apto")</f>
        <v>Não Apto</v>
      </c>
    </row>
    <row r="11" spans="1:6">
      <c r="A11" s="13" t="s">
        <v>55</v>
      </c>
      <c r="B11" s="13"/>
      <c r="C11" s="13"/>
    </row>
    <row r="12" spans="1:6">
      <c r="A12" s="11" t="s">
        <v>56</v>
      </c>
      <c r="B12" s="11"/>
      <c r="C12" s="11"/>
    </row>
    <row r="13" spans="1:6">
      <c r="A13" s="10" t="s">
        <v>57</v>
      </c>
      <c r="B13" s="10"/>
      <c r="C13" s="10"/>
    </row>
    <row r="14" spans="1:6">
      <c r="A14" s="11" t="s">
        <v>58</v>
      </c>
      <c r="B14" s="11"/>
      <c r="C14" s="11"/>
    </row>
    <row r="15" spans="1:6">
      <c r="A15" s="10" t="s">
        <v>59</v>
      </c>
      <c r="B15" s="10"/>
      <c r="C15" s="10"/>
    </row>
  </sheetData>
  <mergeCells count="6">
    <mergeCell ref="A15:C15"/>
    <mergeCell ref="A14:C14"/>
    <mergeCell ref="A13:C13"/>
    <mergeCell ref="A12:C12"/>
    <mergeCell ref="A1:F1"/>
    <mergeCell ref="A11:C11"/>
  </mergeCells>
  <conditionalFormatting sqref="F3:F7">
    <cfRule type="beginsWith" dxfId="3" priority="2" operator="beginsWith" text="Apto">
      <formula>LEFT(F3,LEN("Apto"))="Apto"</formula>
    </cfRule>
  </conditionalFormatting>
  <conditionalFormatting sqref="F3:F7">
    <cfRule type="containsText" dxfId="2" priority="1" operator="containsText" text="Não">
      <formula>NOT(ISERROR(SEARCH("Não",F3)))</formula>
    </cfRule>
  </conditionalFormatting>
  <pageMargins left="0.7" right="0.7" top="0.75" bottom="0.75" header="0.3" footer="0.3"/>
  <pageSetup paperSize="9" fitToWidth="0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2026-09-02T17:05:41Z</dcterms:created>
  <dcterms:modified xsi:type="dcterms:W3CDTF">2026-09-10T22:21:20Z</dcterms:modified>
  <cp:category/>
  <cp:contentStatus/>
</cp:coreProperties>
</file>